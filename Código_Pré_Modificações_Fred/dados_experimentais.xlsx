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vitor\OneDrive\Documentos\Vitor\Projetos\PycharmProjects\Projeto_TotalEnergies\Código_Pré_Modificações_Fred\"/>
    </mc:Choice>
  </mc:AlternateContent>
  <xr:revisionPtr revIDLastSave="0" documentId="13_ncr:1_{C9C3D30D-74E7-4F1D-B2A3-25AE489289EA}" xr6:coauthVersionLast="47" xr6:coauthVersionMax="47" xr10:uidLastSave="{00000000-0000-0000-0000-000000000000}"/>
  <bookViews>
    <workbookView xWindow="-108" yWindow="-108" windowWidth="23256" windowHeight="12456" firstSheet="9" activeTab="12" xr2:uid="{00000000-000D-0000-FFFF-FFFF00000000}"/>
  </bookViews>
  <sheets>
    <sheet name="Yanes_P1" sheetId="4" r:id="rId1"/>
    <sheet name="Yanes_P2" sheetId="6" r:id="rId2"/>
    <sheet name="Yanes_P3" sheetId="7" r:id="rId3"/>
    <sheet name="Alves_BR1_5C" sheetId="19" r:id="rId4"/>
    <sheet name="Alves_BR1_25C" sheetId="11" r:id="rId5"/>
    <sheet name="Alves_BR1_50C" sheetId="12" r:id="rId6"/>
    <sheet name="Alves_BR2_5C" sheetId="13" r:id="rId7"/>
    <sheet name="Alves_BR2_25C" sheetId="14" r:id="rId8"/>
    <sheet name="Alves_BR2_50C" sheetId="15" r:id="rId9"/>
    <sheet name="Alves_BR3_5C" sheetId="16" r:id="rId10"/>
    <sheet name="Alves_BR3_25C" sheetId="17" r:id="rId11"/>
    <sheet name="Alves_BR3_50C" sheetId="18" r:id="rId12"/>
    <sheet name="Tharanivasan_Lloydminster_hept" sheetId="8" r:id="rId13"/>
    <sheet name="Tharanivasan_Lloydminster_pent" sheetId="9" r:id="rId14"/>
    <sheet name="Tharanivasan_Lloydminster_heptM" sheetId="20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0" l="1"/>
  <c r="B6" i="19"/>
  <c r="B6" i="18"/>
  <c r="B6" i="17"/>
  <c r="B6" i="16"/>
  <c r="B6" i="15"/>
  <c r="B6" i="14"/>
  <c r="B6" i="13"/>
  <c r="B6" i="12"/>
  <c r="B6" i="11"/>
  <c r="B6" i="8"/>
</calcChain>
</file>

<file path=xl/sharedStrings.xml><?xml version="1.0" encoding="utf-8"?>
<sst xmlns="http://schemas.openxmlformats.org/spreadsheetml/2006/main" count="178" uniqueCount="13">
  <si>
    <t>Saturados</t>
  </si>
  <si>
    <t>Resinas</t>
  </si>
  <si>
    <t>Asfaltenos</t>
  </si>
  <si>
    <t>Solvente</t>
  </si>
  <si>
    <t>n-heptano</t>
  </si>
  <si>
    <t>Fracao_Solvente</t>
  </si>
  <si>
    <t>T(K)</t>
  </si>
  <si>
    <t>Aromaticos</t>
  </si>
  <si>
    <t>Composto</t>
  </si>
  <si>
    <t>Fracao_Massica</t>
  </si>
  <si>
    <t>n-pentano</t>
  </si>
  <si>
    <t>Yield_Exp</t>
  </si>
  <si>
    <t>DADOS DE YIELD OBTIDOS POR PLOT DIGITIZER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</si>
</sst>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00000000"/>
    <numFmt numFmtId="166" formatCode="0.0"/>
    <numFmt numFmtId="167" formatCode="0.0%"/>
    <numFmt numFmtId="168" formatCode="0.0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7"/>
      <color rgb="FF2C2C2C"/>
      <name val="Calibri"/>
      <family val="2"/>
      <scheme val="minor"/>
    </font>
    <font>
      <sz val="11"/>
      <color rgb="FF000000"/>
      <name val="Aptos Narrow"/>
      <family val="2"/>
    </font>
    <font>
      <sz val="9"/>
      <color rgb="FF2C2C2C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theme="0" tint="-0.14999847407452621"/>
      </bottom>
      <diagonal/>
    </border>
    <border>
      <left style="medium">
        <color rgb="FFFF0000"/>
      </left>
      <right style="medium">
        <color rgb="FFFF0000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rgb="FFFF0000"/>
      </left>
      <right style="medium">
        <color rgb="FFFF0000"/>
      </right>
      <top style="thin">
        <color theme="0" tint="-0.14999847407452621"/>
      </top>
      <bottom style="medium">
        <color rgb="FFFF0000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4" fillId="3" borderId="0" xfId="0" applyFont="1" applyFill="1" applyAlignment="1">
      <alignment vertical="center" wrapText="1"/>
    </xf>
    <xf numFmtId="166" fontId="0" fillId="0" borderId="1" xfId="0" applyNumberFormat="1" applyBorder="1" applyAlignment="1">
      <alignment horizontal="center" vertical="center"/>
    </xf>
    <xf numFmtId="0" fontId="5" fillId="3" borderId="0" xfId="0" applyFont="1" applyFill="1" applyAlignment="1">
      <alignment horizontal="justify" vertical="center" wrapText="1"/>
    </xf>
    <xf numFmtId="0" fontId="6" fillId="3" borderId="0" xfId="0" applyFont="1" applyFill="1" applyAlignment="1">
      <alignment horizontal="justify" vertical="center" wrapText="1"/>
    </xf>
    <xf numFmtId="2" fontId="6" fillId="3" borderId="0" xfId="0" applyNumberFormat="1" applyFont="1" applyFill="1" applyAlignment="1">
      <alignment horizontal="justify" vertical="center" wrapText="1"/>
    </xf>
    <xf numFmtId="167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center"/>
    </xf>
    <xf numFmtId="168" fontId="0" fillId="0" borderId="1" xfId="0" applyNumberFormat="1" applyBorder="1" applyAlignment="1">
      <alignment horizontal="center" vertical="center"/>
    </xf>
    <xf numFmtId="0" fontId="1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1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1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190500</xdr:colOff>
      <xdr:row>0</xdr:row>
      <xdr:rowOff>171450</xdr:rowOff>
    </xdr:from>
    <xdr:to>
      <xdr:col>22</xdr:col>
      <xdr:colOff>67425</xdr:colOff>
      <xdr:row>27</xdr:row>
      <xdr:rowOff>133714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E228C79A-083D-291A-C7DA-E6597F05382F}"/>
            </a:ext>
          </a:extLst>
        </xdr:cNvPr>
        <xdr:cNvGrpSpPr/>
      </xdr:nvGrpSpPr>
      <xdr:grpSpPr>
        <a:xfrm>
          <a:off x="2339340" y="171450"/>
          <a:ext cx="12068925" cy="4915264"/>
          <a:chOff x="2286000" y="209550"/>
          <a:chExt cx="12068925" cy="5334364"/>
        </a:xfrm>
      </xdr:grpSpPr>
      <xdr:grpSp>
        <xdr:nvGrpSpPr>
          <xdr:cNvPr id="4" name="Agrupar 3">
            <a:extLst>
              <a:ext uri="{FF2B5EF4-FFF2-40B4-BE49-F238E27FC236}">
                <a16:creationId xmlns:a16="http://schemas.microsoft.com/office/drawing/2014/main" id="{DF933EBE-7094-4774-2938-DFA87F83DD67}"/>
              </a:ext>
            </a:extLst>
          </xdr:cNvPr>
          <xdr:cNvGrpSpPr/>
        </xdr:nvGrpSpPr>
        <xdr:grpSpPr>
          <a:xfrm>
            <a:off x="2286000" y="209550"/>
            <a:ext cx="6592220" cy="5334364"/>
            <a:chOff x="2657475" y="285750"/>
            <a:chExt cx="6592220" cy="5334364"/>
          </a:xfrm>
        </xdr:grpSpPr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CC30427C-DDD7-E743-26B7-3222ED7315C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2657475" y="285750"/>
              <a:ext cx="5696745" cy="2638793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  <xdr:pic>
          <xdr:nvPicPr>
            <xdr:cNvPr id="2" name="Imagem 1">
              <a:extLst>
                <a:ext uri="{FF2B5EF4-FFF2-40B4-BE49-F238E27FC236}">
                  <a16:creationId xmlns:a16="http://schemas.microsoft.com/office/drawing/2014/main" id="{03AEB7C6-CC6F-42F0-834D-5058B77EF9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657475" y="3009900"/>
              <a:ext cx="6592220" cy="2610214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</xdr:grpSp>
      <xdr:grpSp>
        <xdr:nvGrpSpPr>
          <xdr:cNvPr id="10" name="Agrupar 9">
            <a:extLst>
              <a:ext uri="{FF2B5EF4-FFF2-40B4-BE49-F238E27FC236}">
                <a16:creationId xmlns:a16="http://schemas.microsoft.com/office/drawing/2014/main" id="{92172394-B34A-AC66-F526-72F389F72AFC}"/>
              </a:ext>
            </a:extLst>
          </xdr:cNvPr>
          <xdr:cNvGrpSpPr/>
        </xdr:nvGrpSpPr>
        <xdr:grpSpPr>
          <a:xfrm>
            <a:off x="8982075" y="219075"/>
            <a:ext cx="5372850" cy="4163006"/>
            <a:chOff x="8982075" y="219075"/>
            <a:chExt cx="5372850" cy="4163006"/>
          </a:xfrm>
        </xdr:grpSpPr>
        <xdr:pic>
          <xdr:nvPicPr>
            <xdr:cNvPr id="6" name="Imagem 5">
              <a:extLst>
                <a:ext uri="{FF2B5EF4-FFF2-40B4-BE49-F238E27FC236}">
                  <a16:creationId xmlns:a16="http://schemas.microsoft.com/office/drawing/2014/main" id="{F51B7DB2-F8F3-E8EE-8A92-6A7E8CB331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982075" y="219075"/>
              <a:ext cx="5372850" cy="4163006"/>
            </a:xfrm>
            <a:prstGeom prst="rect">
              <a:avLst/>
            </a:prstGeom>
            <a:ln>
              <a:solidFill>
                <a:schemeClr val="tx1"/>
              </a:solidFill>
            </a:ln>
          </xdr:spPr>
        </xdr:pic>
        <xdr:sp macro="" textlink="">
          <xdr:nvSpPr>
            <xdr:cNvPr id="8" name="CaixaDeTexto 7">
              <a:extLst>
                <a:ext uri="{FF2B5EF4-FFF2-40B4-BE49-F238E27FC236}">
                  <a16:creationId xmlns:a16="http://schemas.microsoft.com/office/drawing/2014/main" id="{8D828990-9AC7-4747-A846-65BAA0A5B6D2}"/>
                </a:ext>
              </a:extLst>
            </xdr:cNvPr>
            <xdr:cNvSpPr txBox="1"/>
          </xdr:nvSpPr>
          <xdr:spPr>
            <a:xfrm>
              <a:off x="11591925" y="866775"/>
              <a:ext cx="2476500" cy="651485"/>
            </a:xfrm>
            <a:prstGeom prst="rect">
              <a:avLst/>
            </a:prstGeom>
            <a:noFill/>
            <a:ln w="38100" cmpd="sng">
              <a:solidFill>
                <a:srgbClr val="FF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 anchorCtr="0"/>
            <a:lstStyle/>
            <a:p>
              <a:r>
                <a:rPr lang="pt-BR" sz="1400"/>
                <a:t>alpha e Mav são lidos no </a:t>
              </a:r>
            </a:p>
            <a:p>
              <a:r>
                <a:rPr lang="pt-BR" sz="1400"/>
                <a:t>'variáveis_entrada_código.txt'</a:t>
              </a:r>
            </a:p>
          </xdr:txBody>
        </xdr:sp>
      </xdr:grpSp>
    </xdr:grpSp>
    <xdr:clientData/>
  </xdr:twoCellAnchor>
  <xdr:twoCellAnchor editAs="oneCell">
    <xdr:from>
      <xdr:col>2</xdr:col>
      <xdr:colOff>457200</xdr:colOff>
      <xdr:row>29</xdr:row>
      <xdr:rowOff>85725</xdr:rowOff>
    </xdr:from>
    <xdr:to>
      <xdr:col>12</xdr:col>
      <xdr:colOff>115103</xdr:colOff>
      <xdr:row>32</xdr:row>
      <xdr:rowOff>68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2E9E86-7AA2-1E95-D10F-B3B1D3112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552700" y="5648325"/>
          <a:ext cx="5753903" cy="485843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12</xdr:col>
      <xdr:colOff>200025</xdr:colOff>
      <xdr:row>28</xdr:row>
      <xdr:rowOff>95250</xdr:rowOff>
    </xdr:from>
    <xdr:to>
      <xdr:col>14</xdr:col>
      <xdr:colOff>76353</xdr:colOff>
      <xdr:row>32</xdr:row>
      <xdr:rowOff>152514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D352B446-1801-BABF-4FFC-7A0A9EE82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391525" y="5448300"/>
          <a:ext cx="1095528" cy="819264"/>
        </a:xfrm>
        <a:prstGeom prst="rect">
          <a:avLst/>
        </a:prstGeom>
      </xdr:spPr>
    </xdr:pic>
    <xdr:clientData/>
  </xdr:twoCellAnchor>
  <xdr:twoCellAnchor>
    <xdr:from>
      <xdr:col>2</xdr:col>
      <xdr:colOff>361949</xdr:colOff>
      <xdr:row>28</xdr:row>
      <xdr:rowOff>19050</xdr:rowOff>
    </xdr:from>
    <xdr:to>
      <xdr:col>14</xdr:col>
      <xdr:colOff>171450</xdr:colOff>
      <xdr:row>33</xdr:row>
      <xdr:rowOff>66675</xdr:rowOff>
    </xdr:to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259C6C04-87E7-096A-1153-A34B711C82CC}"/>
            </a:ext>
          </a:extLst>
        </xdr:cNvPr>
        <xdr:cNvSpPr txBox="1"/>
      </xdr:nvSpPr>
      <xdr:spPr>
        <a:xfrm>
          <a:off x="2457449" y="5372100"/>
          <a:ext cx="7124701" cy="100012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pt-BR" sz="1100"/>
        </a:p>
      </xdr:txBody>
    </xdr:sp>
    <xdr:clientData/>
  </xdr:twoCellAnchor>
  <xdr:twoCellAnchor>
    <xdr:from>
      <xdr:col>14</xdr:col>
      <xdr:colOff>257175</xdr:colOff>
      <xdr:row>28</xdr:row>
      <xdr:rowOff>104775</xdr:rowOff>
    </xdr:from>
    <xdr:to>
      <xdr:col>19</xdr:col>
      <xdr:colOff>123825</xdr:colOff>
      <xdr:row>32</xdr:row>
      <xdr:rowOff>180975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5C547FC0-BF2B-4A85-9A80-0AB88F31F97F}"/>
            </a:ext>
          </a:extLst>
        </xdr:cNvPr>
        <xdr:cNvSpPr txBox="1"/>
      </xdr:nvSpPr>
      <xdr:spPr>
        <a:xfrm>
          <a:off x="9667875" y="5457825"/>
          <a:ext cx="2914650" cy="838200"/>
        </a:xfrm>
        <a:prstGeom prst="rect">
          <a:avLst/>
        </a:prstGeom>
        <a:noFill/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Yield_exp e SARA extraídos do código MATLAB no apendice da dissertação do Romero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190500</xdr:colOff>
      <xdr:row>0</xdr:row>
      <xdr:rowOff>142875</xdr:rowOff>
    </xdr:from>
    <xdr:to>
      <xdr:col>21</xdr:col>
      <xdr:colOff>600801</xdr:colOff>
      <xdr:row>28</xdr:row>
      <xdr:rowOff>181339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572E572B-3A8B-D2E4-CF97-5E6EFF6B33AB}"/>
            </a:ext>
          </a:extLst>
        </xdr:cNvPr>
        <xdr:cNvGrpSpPr/>
      </xdr:nvGrpSpPr>
      <xdr:grpSpPr>
        <a:xfrm>
          <a:off x="2339340" y="142875"/>
          <a:ext cx="11992701" cy="5189584"/>
          <a:chOff x="2286000" y="200025"/>
          <a:chExt cx="11992701" cy="5410564"/>
        </a:xfrm>
      </xdr:grpSpPr>
      <xdr:grpSp>
        <xdr:nvGrpSpPr>
          <xdr:cNvPr id="14" name="Agrupar 13">
            <a:extLst>
              <a:ext uri="{FF2B5EF4-FFF2-40B4-BE49-F238E27FC236}">
                <a16:creationId xmlns:a16="http://schemas.microsoft.com/office/drawing/2014/main" id="{E4E4B3CE-3F0A-D69F-F8A9-CAC5924B846E}"/>
              </a:ext>
            </a:extLst>
          </xdr:cNvPr>
          <xdr:cNvGrpSpPr/>
        </xdr:nvGrpSpPr>
        <xdr:grpSpPr>
          <a:xfrm>
            <a:off x="2286000" y="209550"/>
            <a:ext cx="6706536" cy="5401039"/>
            <a:chOff x="2286000" y="209550"/>
            <a:chExt cx="6706536" cy="5401039"/>
          </a:xfrm>
        </xdr:grpSpPr>
        <xdr:pic>
          <xdr:nvPicPr>
            <xdr:cNvPr id="6" name="Imagem 5">
              <a:extLst>
                <a:ext uri="{FF2B5EF4-FFF2-40B4-BE49-F238E27FC236}">
                  <a16:creationId xmlns:a16="http://schemas.microsoft.com/office/drawing/2014/main" id="{68B39BB4-5EEE-4CEE-80F2-3EB28F63E2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2286000" y="209550"/>
              <a:ext cx="5744377" cy="2705478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  <xdr:pic>
          <xdr:nvPicPr>
            <xdr:cNvPr id="12" name="Imagem 11">
              <a:extLst>
                <a:ext uri="{FF2B5EF4-FFF2-40B4-BE49-F238E27FC236}">
                  <a16:creationId xmlns:a16="http://schemas.microsoft.com/office/drawing/2014/main" id="{DA4EF3DD-B82A-46FF-9EAE-3618502961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286000" y="3000375"/>
              <a:ext cx="6706536" cy="2610214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</xdr:grpSp>
      <xdr:grpSp>
        <xdr:nvGrpSpPr>
          <xdr:cNvPr id="7" name="Agrupar 6">
            <a:extLst>
              <a:ext uri="{FF2B5EF4-FFF2-40B4-BE49-F238E27FC236}">
                <a16:creationId xmlns:a16="http://schemas.microsoft.com/office/drawing/2014/main" id="{49B649B1-B8DB-ED08-961D-45EC137B4B15}"/>
              </a:ext>
            </a:extLst>
          </xdr:cNvPr>
          <xdr:cNvGrpSpPr/>
        </xdr:nvGrpSpPr>
        <xdr:grpSpPr>
          <a:xfrm>
            <a:off x="9077325" y="200025"/>
            <a:ext cx="5201376" cy="4105848"/>
            <a:chOff x="9077325" y="200025"/>
            <a:chExt cx="5201376" cy="4105848"/>
          </a:xfrm>
        </xdr:grpSpPr>
        <xdr:pic>
          <xdr:nvPicPr>
            <xdr:cNvPr id="2" name="Imagem 1">
              <a:extLst>
                <a:ext uri="{FF2B5EF4-FFF2-40B4-BE49-F238E27FC236}">
                  <a16:creationId xmlns:a16="http://schemas.microsoft.com/office/drawing/2014/main" id="{45428B94-A495-7715-49BA-EC3DC243C8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9077325" y="200025"/>
              <a:ext cx="5201376" cy="4105848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  <xdr:sp macro="" textlink="">
          <xdr:nvSpPr>
            <xdr:cNvPr id="4" name="CaixaDeTexto 3">
              <a:extLst>
                <a:ext uri="{FF2B5EF4-FFF2-40B4-BE49-F238E27FC236}">
                  <a16:creationId xmlns:a16="http://schemas.microsoft.com/office/drawing/2014/main" id="{8ABA830A-A0A9-458A-8DE8-B481F48780C6}"/>
                </a:ext>
              </a:extLst>
            </xdr:cNvPr>
            <xdr:cNvSpPr txBox="1"/>
          </xdr:nvSpPr>
          <xdr:spPr>
            <a:xfrm>
              <a:off x="11582400" y="762000"/>
              <a:ext cx="2476500" cy="542925"/>
            </a:xfrm>
            <a:prstGeom prst="rect">
              <a:avLst/>
            </a:prstGeom>
            <a:noFill/>
            <a:ln w="38100" cmpd="sng">
              <a:solidFill>
                <a:srgbClr val="FF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 anchorCtr="0"/>
            <a:lstStyle/>
            <a:p>
              <a:r>
                <a:rPr lang="pt-BR" sz="1400"/>
                <a:t>alpha e Mav são lidos no </a:t>
              </a:r>
            </a:p>
            <a:p>
              <a:r>
                <a:rPr lang="pt-BR" sz="1400"/>
                <a:t>'variáveis_entrada_código.txt'</a:t>
              </a: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142875</xdr:colOff>
      <xdr:row>0</xdr:row>
      <xdr:rowOff>161925</xdr:rowOff>
    </xdr:from>
    <xdr:to>
      <xdr:col>22</xdr:col>
      <xdr:colOff>410292</xdr:colOff>
      <xdr:row>18</xdr:row>
      <xdr:rowOff>0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6DCAB56A-8067-2229-47A3-FB5261CA182C}"/>
            </a:ext>
          </a:extLst>
        </xdr:cNvPr>
        <xdr:cNvGrpSpPr/>
      </xdr:nvGrpSpPr>
      <xdr:grpSpPr>
        <a:xfrm>
          <a:off x="2291715" y="161925"/>
          <a:ext cx="12459417" cy="3145155"/>
          <a:chOff x="2276475" y="133350"/>
          <a:chExt cx="12459417" cy="4124899"/>
        </a:xfrm>
      </xdr:grpSpPr>
      <xdr:grpSp>
        <xdr:nvGrpSpPr>
          <xdr:cNvPr id="3" name="Agrupar 2">
            <a:extLst>
              <a:ext uri="{FF2B5EF4-FFF2-40B4-BE49-F238E27FC236}">
                <a16:creationId xmlns:a16="http://schemas.microsoft.com/office/drawing/2014/main" id="{CFE14E4D-6100-FAD2-5BC2-08BC4B28C2BA}"/>
              </a:ext>
            </a:extLst>
          </xdr:cNvPr>
          <xdr:cNvGrpSpPr/>
        </xdr:nvGrpSpPr>
        <xdr:grpSpPr>
          <a:xfrm>
            <a:off x="2276475" y="133350"/>
            <a:ext cx="7258050" cy="3486150"/>
            <a:chOff x="2276475" y="200025"/>
            <a:chExt cx="7258050" cy="3505200"/>
          </a:xfrm>
        </xdr:grpSpPr>
        <xdr:pic>
          <xdr:nvPicPr>
            <xdr:cNvPr id="8" name="Imagem 7">
              <a:extLst>
                <a:ext uri="{FF2B5EF4-FFF2-40B4-BE49-F238E27FC236}">
                  <a16:creationId xmlns:a16="http://schemas.microsoft.com/office/drawing/2014/main" id="{FAF3EF19-2543-4BB4-9F65-F53BA4259F4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2286000" y="200025"/>
              <a:ext cx="6106559" cy="2817808"/>
            </a:xfrm>
            <a:prstGeom prst="rect">
              <a:avLst/>
            </a:prstGeom>
            <a:ln>
              <a:solidFill>
                <a:schemeClr val="tx1"/>
              </a:solidFill>
            </a:ln>
          </xdr:spPr>
        </xdr:pic>
        <xdr:sp macro="" textlink="">
          <xdr:nvSpPr>
            <xdr:cNvPr id="2" name="CaixaDeTexto 1">
              <a:extLst>
                <a:ext uri="{FF2B5EF4-FFF2-40B4-BE49-F238E27FC236}">
                  <a16:creationId xmlns:a16="http://schemas.microsoft.com/office/drawing/2014/main" id="{7E40A26F-D442-4FFC-B1CF-75A7E6EB2EC5}"/>
                </a:ext>
              </a:extLst>
            </xdr:cNvPr>
            <xdr:cNvSpPr txBox="1"/>
          </xdr:nvSpPr>
          <xdr:spPr>
            <a:xfrm>
              <a:off x="2276475" y="3086100"/>
              <a:ext cx="7258050" cy="619125"/>
            </a:xfrm>
            <a:prstGeom prst="rect">
              <a:avLst/>
            </a:prstGeom>
            <a:solidFill>
              <a:schemeClr val="bg1">
                <a:lumMod val="95000"/>
              </a:schemeClr>
            </a:solidFill>
            <a:ln w="12700" cmpd="sng"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 anchorCtr="0"/>
            <a:lstStyle/>
            <a:p>
              <a:r>
                <a:rPr lang="pt-BR" sz="1600"/>
                <a:t>Dados de yields não disponíveis na dissertação</a:t>
              </a:r>
              <a:r>
                <a:rPr lang="pt-BR" sz="1600" baseline="0"/>
                <a:t> nem</a:t>
              </a:r>
              <a:r>
                <a:rPr lang="pt-BR" sz="1600"/>
                <a:t> no artigo de Yanes (2018)</a:t>
              </a:r>
            </a:p>
          </xdr:txBody>
        </xdr:sp>
      </xdr:grpSp>
      <xdr:grpSp>
        <xdr:nvGrpSpPr>
          <xdr:cNvPr id="7" name="Agrupar 6">
            <a:extLst>
              <a:ext uri="{FF2B5EF4-FFF2-40B4-BE49-F238E27FC236}">
                <a16:creationId xmlns:a16="http://schemas.microsoft.com/office/drawing/2014/main" id="{CC336097-0A00-75E4-DE62-086F8BC81710}"/>
              </a:ext>
            </a:extLst>
          </xdr:cNvPr>
          <xdr:cNvGrpSpPr/>
        </xdr:nvGrpSpPr>
        <xdr:grpSpPr>
          <a:xfrm>
            <a:off x="9601200" y="142875"/>
            <a:ext cx="5134692" cy="4115374"/>
            <a:chOff x="9829800" y="314325"/>
            <a:chExt cx="5134692" cy="4115374"/>
          </a:xfrm>
        </xdr:grpSpPr>
        <xdr:pic>
          <xdr:nvPicPr>
            <xdr:cNvPr id="5" name="Imagem 4">
              <a:extLst>
                <a:ext uri="{FF2B5EF4-FFF2-40B4-BE49-F238E27FC236}">
                  <a16:creationId xmlns:a16="http://schemas.microsoft.com/office/drawing/2014/main" id="{D055422C-6E4B-3EED-8CCD-B9EF5939D5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829800" y="314325"/>
              <a:ext cx="5134692" cy="4115374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  <xdr:sp macro="" textlink="">
          <xdr:nvSpPr>
            <xdr:cNvPr id="6" name="CaixaDeTexto 5">
              <a:extLst>
                <a:ext uri="{FF2B5EF4-FFF2-40B4-BE49-F238E27FC236}">
                  <a16:creationId xmlns:a16="http://schemas.microsoft.com/office/drawing/2014/main" id="{324B237D-C0C0-46CB-88D8-1E39C6A06D63}"/>
                </a:ext>
              </a:extLst>
            </xdr:cNvPr>
            <xdr:cNvSpPr txBox="1"/>
          </xdr:nvSpPr>
          <xdr:spPr>
            <a:xfrm>
              <a:off x="12249150" y="895350"/>
              <a:ext cx="2476500" cy="542925"/>
            </a:xfrm>
            <a:prstGeom prst="rect">
              <a:avLst/>
            </a:prstGeom>
            <a:noFill/>
            <a:ln w="38100" cmpd="sng">
              <a:solidFill>
                <a:srgbClr val="FF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 anchorCtr="0"/>
            <a:lstStyle/>
            <a:p>
              <a:r>
                <a:rPr lang="pt-BR" sz="1400"/>
                <a:t>alpha e Mav são lidos no </a:t>
              </a:r>
            </a:p>
            <a:p>
              <a:r>
                <a:rPr lang="pt-BR" sz="1400"/>
                <a:t>'variáveis_entrada_código.txt'</a:t>
              </a:r>
            </a:p>
          </xdr:txBody>
        </xdr:sp>
      </xdr:grp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457200</xdr:colOff>
      <xdr:row>29</xdr:row>
      <xdr:rowOff>85725</xdr:rowOff>
    </xdr:from>
    <xdr:to>
      <xdr:col>12</xdr:col>
      <xdr:colOff>115103</xdr:colOff>
      <xdr:row>32</xdr:row>
      <xdr:rowOff>68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79B6E6F-9F95-41F2-94C9-66F1C70443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6040" y="5404485"/>
          <a:ext cx="5753903" cy="462983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12</xdr:col>
      <xdr:colOff>200025</xdr:colOff>
      <xdr:row>28</xdr:row>
      <xdr:rowOff>95250</xdr:rowOff>
    </xdr:from>
    <xdr:to>
      <xdr:col>14</xdr:col>
      <xdr:colOff>76353</xdr:colOff>
      <xdr:row>32</xdr:row>
      <xdr:rowOff>152514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2DFBA10-67FF-4FA8-B50C-7D131FB508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44865" y="5231130"/>
          <a:ext cx="1095528" cy="788784"/>
        </a:xfrm>
        <a:prstGeom prst="rect">
          <a:avLst/>
        </a:prstGeom>
      </xdr:spPr>
    </xdr:pic>
    <xdr:clientData/>
  </xdr:twoCellAnchor>
  <xdr:twoCellAnchor>
    <xdr:from>
      <xdr:col>2</xdr:col>
      <xdr:colOff>361949</xdr:colOff>
      <xdr:row>28</xdr:row>
      <xdr:rowOff>19050</xdr:rowOff>
    </xdr:from>
    <xdr:to>
      <xdr:col>14</xdr:col>
      <xdr:colOff>171450</xdr:colOff>
      <xdr:row>33</xdr:row>
      <xdr:rowOff>66675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09F69518-150A-4831-B754-1CB804864B37}"/>
            </a:ext>
          </a:extLst>
        </xdr:cNvPr>
        <xdr:cNvSpPr txBox="1"/>
      </xdr:nvSpPr>
      <xdr:spPr>
        <a:xfrm>
          <a:off x="2510789" y="5154930"/>
          <a:ext cx="7124701" cy="96202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pt-BR" sz="1100"/>
        </a:p>
      </xdr:txBody>
    </xdr:sp>
    <xdr:clientData/>
  </xdr:twoCellAnchor>
  <xdr:twoCellAnchor>
    <xdr:from>
      <xdr:col>14</xdr:col>
      <xdr:colOff>257175</xdr:colOff>
      <xdr:row>28</xdr:row>
      <xdr:rowOff>104775</xdr:rowOff>
    </xdr:from>
    <xdr:to>
      <xdr:col>19</xdr:col>
      <xdr:colOff>123825</xdr:colOff>
      <xdr:row>32</xdr:row>
      <xdr:rowOff>180975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13270192-AB3F-4B0E-BA7F-442B546717D5}"/>
            </a:ext>
          </a:extLst>
        </xdr:cNvPr>
        <xdr:cNvSpPr txBox="1"/>
      </xdr:nvSpPr>
      <xdr:spPr>
        <a:xfrm>
          <a:off x="9721215" y="5240655"/>
          <a:ext cx="2914650" cy="807720"/>
        </a:xfrm>
        <a:prstGeom prst="rect">
          <a:avLst/>
        </a:prstGeom>
        <a:noFill/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Yield_exp e SARA extraídos do código MATLAB no apendice da dissertação do Romero</a:t>
          </a:r>
        </a:p>
      </xdr:txBody>
    </xdr:sp>
    <xdr:clientData/>
  </xdr:twoCellAnchor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13</xdr:row>
      <xdr:rowOff>175473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B6FC7961-E4E9-4B20-99ED-022C68B9A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6147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5</xdr:col>
      <xdr:colOff>563880</xdr:colOff>
      <xdr:row>7</xdr:row>
      <xdr:rowOff>144780</xdr:rowOff>
    </xdr:from>
    <xdr:to>
      <xdr:col>6</xdr:col>
      <xdr:colOff>525780</xdr:colOff>
      <xdr:row>12</xdr:row>
      <xdr:rowOff>60960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D3908157-72FF-4152-A9A4-6D405436D575}"/>
            </a:ext>
          </a:extLst>
        </xdr:cNvPr>
        <xdr:cNvSpPr/>
      </xdr:nvSpPr>
      <xdr:spPr>
        <a:xfrm>
          <a:off x="4541520" y="144018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5ADE121B-7719-4E2F-8AF8-730783A8AC2B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2062A3FF-F7A4-43D0-A0A3-0C4F26B2ACDD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182880</xdr:colOff>
      <xdr:row>0</xdr:row>
      <xdr:rowOff>167640</xdr:rowOff>
    </xdr:from>
    <xdr:to>
      <xdr:col>19</xdr:col>
      <xdr:colOff>526180</xdr:colOff>
      <xdr:row>20</xdr:row>
      <xdr:rowOff>38407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EAD4A420-4A3F-45CB-8026-D5D4753A36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7720" y="167640"/>
          <a:ext cx="4610500" cy="3543607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457200</xdr:colOff>
      <xdr:row>29</xdr:row>
      <xdr:rowOff>85725</xdr:rowOff>
    </xdr:from>
    <xdr:to>
      <xdr:col>12</xdr:col>
      <xdr:colOff>115103</xdr:colOff>
      <xdr:row>32</xdr:row>
      <xdr:rowOff>68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A10D00C-5A00-480F-B3E1-3C67C6F97B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6040" y="5404485"/>
          <a:ext cx="5753903" cy="462983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12</xdr:col>
      <xdr:colOff>200025</xdr:colOff>
      <xdr:row>28</xdr:row>
      <xdr:rowOff>95250</xdr:rowOff>
    </xdr:from>
    <xdr:to>
      <xdr:col>14</xdr:col>
      <xdr:colOff>76353</xdr:colOff>
      <xdr:row>32</xdr:row>
      <xdr:rowOff>152514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1B9DA0C-8AE4-4F2F-ADA3-2BBBD8918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44865" y="5231130"/>
          <a:ext cx="1095528" cy="788784"/>
        </a:xfrm>
        <a:prstGeom prst="rect">
          <a:avLst/>
        </a:prstGeom>
      </xdr:spPr>
    </xdr:pic>
    <xdr:clientData/>
  </xdr:twoCellAnchor>
  <xdr:twoCellAnchor>
    <xdr:from>
      <xdr:col>2</xdr:col>
      <xdr:colOff>361949</xdr:colOff>
      <xdr:row>28</xdr:row>
      <xdr:rowOff>19050</xdr:rowOff>
    </xdr:from>
    <xdr:to>
      <xdr:col>14</xdr:col>
      <xdr:colOff>171450</xdr:colOff>
      <xdr:row>33</xdr:row>
      <xdr:rowOff>66675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B8BECD07-BEFE-4F81-A069-82E997A1131E}"/>
            </a:ext>
          </a:extLst>
        </xdr:cNvPr>
        <xdr:cNvSpPr txBox="1"/>
      </xdr:nvSpPr>
      <xdr:spPr>
        <a:xfrm>
          <a:off x="2510789" y="5154930"/>
          <a:ext cx="7124701" cy="96202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pt-BR" sz="1100"/>
        </a:p>
      </xdr:txBody>
    </xdr:sp>
    <xdr:clientData/>
  </xdr:twoCellAnchor>
  <xdr:twoCellAnchor>
    <xdr:from>
      <xdr:col>14</xdr:col>
      <xdr:colOff>257175</xdr:colOff>
      <xdr:row>28</xdr:row>
      <xdr:rowOff>104775</xdr:rowOff>
    </xdr:from>
    <xdr:to>
      <xdr:col>19</xdr:col>
      <xdr:colOff>123825</xdr:colOff>
      <xdr:row>32</xdr:row>
      <xdr:rowOff>180975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4ACC2386-FB57-46DC-9643-BE1652221C38}"/>
            </a:ext>
          </a:extLst>
        </xdr:cNvPr>
        <xdr:cNvSpPr txBox="1"/>
      </xdr:nvSpPr>
      <xdr:spPr>
        <a:xfrm>
          <a:off x="9721215" y="5240655"/>
          <a:ext cx="2914650" cy="807720"/>
        </a:xfrm>
        <a:prstGeom prst="rect">
          <a:avLst/>
        </a:prstGeom>
        <a:noFill/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Yield_exp e SARA extraídos do código MATLAB no apendice da dissertação do Romero</a:t>
          </a:r>
        </a:p>
      </xdr:txBody>
    </xdr:sp>
    <xdr:clientData/>
  </xdr:twoCellAnchor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7833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87354BBD-771A-4134-9328-1F4B3C73CC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6147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5</xdr:col>
      <xdr:colOff>563880</xdr:colOff>
      <xdr:row>7</xdr:row>
      <xdr:rowOff>144780</xdr:rowOff>
    </xdr:from>
    <xdr:to>
      <xdr:col>6</xdr:col>
      <xdr:colOff>525780</xdr:colOff>
      <xdr:row>12</xdr:row>
      <xdr:rowOff>60960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DA94CE9F-D2A9-4424-A553-254CB6A8F96A}"/>
            </a:ext>
          </a:extLst>
        </xdr:cNvPr>
        <xdr:cNvSpPr/>
      </xdr:nvSpPr>
      <xdr:spPr>
        <a:xfrm>
          <a:off x="4541520" y="144018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1687E2A6-A587-4EAB-B5DE-F34974D877A5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CD32F651-79B6-4079-B938-95D8D3392A5F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182880</xdr:colOff>
      <xdr:row>0</xdr:row>
      <xdr:rowOff>167640</xdr:rowOff>
    </xdr:from>
    <xdr:to>
      <xdr:col>19</xdr:col>
      <xdr:colOff>526180</xdr:colOff>
      <xdr:row>20</xdr:row>
      <xdr:rowOff>53647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B058DFD1-5097-4826-BD25-CCF65CBA0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7720" y="167640"/>
          <a:ext cx="4610500" cy="3543607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457200</xdr:colOff>
      <xdr:row>29</xdr:row>
      <xdr:rowOff>85725</xdr:rowOff>
    </xdr:from>
    <xdr:to>
      <xdr:col>12</xdr:col>
      <xdr:colOff>115103</xdr:colOff>
      <xdr:row>32</xdr:row>
      <xdr:rowOff>68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08668B3-50F5-4464-9562-1BCDF9743D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6040" y="5404485"/>
          <a:ext cx="5753903" cy="462983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12</xdr:col>
      <xdr:colOff>200025</xdr:colOff>
      <xdr:row>28</xdr:row>
      <xdr:rowOff>95250</xdr:rowOff>
    </xdr:from>
    <xdr:to>
      <xdr:col>14</xdr:col>
      <xdr:colOff>76353</xdr:colOff>
      <xdr:row>32</xdr:row>
      <xdr:rowOff>152514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95E031B-6773-42B0-B6C7-8692FD55B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44865" y="5231130"/>
          <a:ext cx="1095528" cy="788784"/>
        </a:xfrm>
        <a:prstGeom prst="rect">
          <a:avLst/>
        </a:prstGeom>
      </xdr:spPr>
    </xdr:pic>
    <xdr:clientData/>
  </xdr:twoCellAnchor>
  <xdr:twoCellAnchor>
    <xdr:from>
      <xdr:col>2</xdr:col>
      <xdr:colOff>361949</xdr:colOff>
      <xdr:row>28</xdr:row>
      <xdr:rowOff>19050</xdr:rowOff>
    </xdr:from>
    <xdr:to>
      <xdr:col>14</xdr:col>
      <xdr:colOff>171450</xdr:colOff>
      <xdr:row>33</xdr:row>
      <xdr:rowOff>66675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6EC27833-ABF0-472D-80A1-C3860F82CFF2}"/>
            </a:ext>
          </a:extLst>
        </xdr:cNvPr>
        <xdr:cNvSpPr txBox="1"/>
      </xdr:nvSpPr>
      <xdr:spPr>
        <a:xfrm>
          <a:off x="2510789" y="5154930"/>
          <a:ext cx="7124701" cy="96202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pt-BR" sz="1100"/>
        </a:p>
      </xdr:txBody>
    </xdr:sp>
    <xdr:clientData/>
  </xdr:twoCellAnchor>
  <xdr:twoCellAnchor>
    <xdr:from>
      <xdr:col>14</xdr:col>
      <xdr:colOff>257175</xdr:colOff>
      <xdr:row>28</xdr:row>
      <xdr:rowOff>104775</xdr:rowOff>
    </xdr:from>
    <xdr:to>
      <xdr:col>19</xdr:col>
      <xdr:colOff>123825</xdr:colOff>
      <xdr:row>32</xdr:row>
      <xdr:rowOff>180975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9E2BB25B-0ED2-4736-978D-7E81293B89BA}"/>
            </a:ext>
          </a:extLst>
        </xdr:cNvPr>
        <xdr:cNvSpPr txBox="1"/>
      </xdr:nvSpPr>
      <xdr:spPr>
        <a:xfrm>
          <a:off x="9721215" y="5240655"/>
          <a:ext cx="2914650" cy="807720"/>
        </a:xfrm>
        <a:prstGeom prst="rect">
          <a:avLst/>
        </a:prstGeom>
        <a:noFill/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Yield_exp e SARA extraídos do código MATLAB no apendice da dissertação do Romero</a:t>
          </a:r>
        </a:p>
      </xdr:txBody>
    </xdr:sp>
    <xdr:clientData/>
  </xdr:twoCellAnchor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23073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64B0C3C-45B6-462A-A217-76B129D72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7671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5</xdr:col>
      <xdr:colOff>563880</xdr:colOff>
      <xdr:row>7</xdr:row>
      <xdr:rowOff>144780</xdr:rowOff>
    </xdr:from>
    <xdr:to>
      <xdr:col>6</xdr:col>
      <xdr:colOff>525780</xdr:colOff>
      <xdr:row>12</xdr:row>
      <xdr:rowOff>60960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41CAAC0A-C8AB-4641-B7DF-23261B88A367}"/>
            </a:ext>
          </a:extLst>
        </xdr:cNvPr>
        <xdr:cNvSpPr/>
      </xdr:nvSpPr>
      <xdr:spPr>
        <a:xfrm>
          <a:off x="4541520" y="144018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5868881A-46F0-4B64-8A58-964006171E05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78CD27A0-220B-4977-AEAC-BFD31F93A6F2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182880</xdr:colOff>
      <xdr:row>0</xdr:row>
      <xdr:rowOff>167640</xdr:rowOff>
    </xdr:from>
    <xdr:to>
      <xdr:col>19</xdr:col>
      <xdr:colOff>526180</xdr:colOff>
      <xdr:row>20</xdr:row>
      <xdr:rowOff>68887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CA407FFC-52D5-480D-9A6B-3A4206B4F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7720" y="167640"/>
          <a:ext cx="4610500" cy="3558847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7833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E337E06E-DACE-4629-9BAE-C0EAF07AE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6147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7</xdr:col>
      <xdr:colOff>175260</xdr:colOff>
      <xdr:row>7</xdr:row>
      <xdr:rowOff>144780</xdr:rowOff>
    </xdr:from>
    <xdr:to>
      <xdr:col>8</xdr:col>
      <xdr:colOff>137160</xdr:colOff>
      <xdr:row>12</xdr:row>
      <xdr:rowOff>60960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D24635E8-8587-43A7-A831-C65C4BA9089C}"/>
            </a:ext>
          </a:extLst>
        </xdr:cNvPr>
        <xdr:cNvSpPr/>
      </xdr:nvSpPr>
      <xdr:spPr>
        <a:xfrm>
          <a:off x="5372100" y="144018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C92BA450-9BD1-4CED-A451-2836EE68149D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9CF44494-CE05-4E05-B728-CE77F5F50BE8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198120</xdr:colOff>
      <xdr:row>0</xdr:row>
      <xdr:rowOff>83820</xdr:rowOff>
    </xdr:from>
    <xdr:to>
      <xdr:col>19</xdr:col>
      <xdr:colOff>480454</xdr:colOff>
      <xdr:row>19</xdr:row>
      <xdr:rowOff>84122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40F1747-9262-41E7-A5CC-4E480D1A15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2960" y="83820"/>
          <a:ext cx="4549534" cy="349026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23073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32F201C1-DAD5-4E00-9E99-5E2B1BC69F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7671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7</xdr:col>
      <xdr:colOff>160020</xdr:colOff>
      <xdr:row>7</xdr:row>
      <xdr:rowOff>144780</xdr:rowOff>
    </xdr:from>
    <xdr:to>
      <xdr:col>8</xdr:col>
      <xdr:colOff>121920</xdr:colOff>
      <xdr:row>12</xdr:row>
      <xdr:rowOff>60960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1371BA5A-6EF6-4DAF-A31F-806C78F8C371}"/>
            </a:ext>
          </a:extLst>
        </xdr:cNvPr>
        <xdr:cNvSpPr/>
      </xdr:nvSpPr>
      <xdr:spPr>
        <a:xfrm>
          <a:off x="5356860" y="144018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DC28A06F-187F-439A-A2E8-7A8185F3BD1C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B5BCCAA0-35B2-4AAA-8018-CE4EE0650918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220980</xdr:colOff>
      <xdr:row>0</xdr:row>
      <xdr:rowOff>175260</xdr:rowOff>
    </xdr:from>
    <xdr:to>
      <xdr:col>19</xdr:col>
      <xdr:colOff>503314</xdr:colOff>
      <xdr:row>19</xdr:row>
      <xdr:rowOff>175562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706E2D57-108D-4D20-ADD1-64F09DC47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5820" y="175260"/>
          <a:ext cx="4549534" cy="349026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38313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9CDF3F3-741B-49F6-93B1-20B1398091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50719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7</xdr:col>
      <xdr:colOff>160020</xdr:colOff>
      <xdr:row>7</xdr:row>
      <xdr:rowOff>167640</xdr:rowOff>
    </xdr:from>
    <xdr:to>
      <xdr:col>8</xdr:col>
      <xdr:colOff>121920</xdr:colOff>
      <xdr:row>12</xdr:row>
      <xdr:rowOff>83820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D29A069E-25E4-4258-9050-1F30F41EBB9F}"/>
            </a:ext>
          </a:extLst>
        </xdr:cNvPr>
        <xdr:cNvSpPr/>
      </xdr:nvSpPr>
      <xdr:spPr>
        <a:xfrm>
          <a:off x="5356860" y="146304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0D736D77-06CB-40F6-B469-7F93165F7A3A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99759AC7-3A1D-477C-9B18-E0DE9FFD8889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335280</xdr:colOff>
      <xdr:row>0</xdr:row>
      <xdr:rowOff>129540</xdr:rowOff>
    </xdr:from>
    <xdr:to>
      <xdr:col>20</xdr:col>
      <xdr:colOff>8014</xdr:colOff>
      <xdr:row>19</xdr:row>
      <xdr:rowOff>129842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5A131B2E-5D8D-8DD1-5513-E398563353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80120" y="129540"/>
          <a:ext cx="4549534" cy="349026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23073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728485B-563A-4D27-BC8D-90C3091FBD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7671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8</xdr:col>
      <xdr:colOff>419100</xdr:colOff>
      <xdr:row>7</xdr:row>
      <xdr:rowOff>160020</xdr:rowOff>
    </xdr:from>
    <xdr:to>
      <xdr:col>9</xdr:col>
      <xdr:colOff>381000</xdr:colOff>
      <xdr:row>12</xdr:row>
      <xdr:rowOff>76200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94F341E6-56EA-4091-A797-7FACE19C5D71}"/>
            </a:ext>
          </a:extLst>
        </xdr:cNvPr>
        <xdr:cNvSpPr/>
      </xdr:nvSpPr>
      <xdr:spPr>
        <a:xfrm>
          <a:off x="6225540" y="145542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4DC21CDF-4A4E-47E4-97AA-5683785EF26A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BD3CA500-08BE-4977-A518-AA2DEFF3669F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198120</xdr:colOff>
      <xdr:row>0</xdr:row>
      <xdr:rowOff>83820</xdr:rowOff>
    </xdr:from>
    <xdr:to>
      <xdr:col>19</xdr:col>
      <xdr:colOff>480454</xdr:colOff>
      <xdr:row>19</xdr:row>
      <xdr:rowOff>99362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32F1903E-6244-4C5A-BA70-45D5A0ADE4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2960" y="83820"/>
          <a:ext cx="4549534" cy="349026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38313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53741E0-502D-4BA8-8CF8-60130B72CB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9195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8</xdr:col>
      <xdr:colOff>419100</xdr:colOff>
      <xdr:row>7</xdr:row>
      <xdr:rowOff>160020</xdr:rowOff>
    </xdr:from>
    <xdr:to>
      <xdr:col>9</xdr:col>
      <xdr:colOff>381000</xdr:colOff>
      <xdr:row>12</xdr:row>
      <xdr:rowOff>76200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9F95758E-B08D-44F6-A382-2AB35C3EA5E8}"/>
            </a:ext>
          </a:extLst>
        </xdr:cNvPr>
        <xdr:cNvSpPr/>
      </xdr:nvSpPr>
      <xdr:spPr>
        <a:xfrm>
          <a:off x="6225540" y="145542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5E6D2137-FEB5-4643-AA53-7D0229895C69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D5866AE6-7F85-48F8-AEBA-5525B84014B8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198120</xdr:colOff>
      <xdr:row>0</xdr:row>
      <xdr:rowOff>83820</xdr:rowOff>
    </xdr:from>
    <xdr:to>
      <xdr:col>19</xdr:col>
      <xdr:colOff>480454</xdr:colOff>
      <xdr:row>19</xdr:row>
      <xdr:rowOff>114602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D80147D4-9512-4611-A0FC-D32407821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2960" y="83820"/>
          <a:ext cx="4549534" cy="350550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38313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7E73C2AA-C304-4D83-900C-4E44592AE9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9195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8</xdr:col>
      <xdr:colOff>419100</xdr:colOff>
      <xdr:row>7</xdr:row>
      <xdr:rowOff>160020</xdr:rowOff>
    </xdr:from>
    <xdr:to>
      <xdr:col>9</xdr:col>
      <xdr:colOff>381000</xdr:colOff>
      <xdr:row>12</xdr:row>
      <xdr:rowOff>76200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7BF5FA6F-551E-4AC7-A22C-D9767AD4490D}"/>
            </a:ext>
          </a:extLst>
        </xdr:cNvPr>
        <xdr:cNvSpPr/>
      </xdr:nvSpPr>
      <xdr:spPr>
        <a:xfrm>
          <a:off x="6225540" y="145542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2957ECEC-85D8-4127-972A-E594F6F7583F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585BB59F-1CD1-424B-9433-1BBDB7A95529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198120</xdr:colOff>
      <xdr:row>0</xdr:row>
      <xdr:rowOff>83820</xdr:rowOff>
    </xdr:from>
    <xdr:to>
      <xdr:col>19</xdr:col>
      <xdr:colOff>480454</xdr:colOff>
      <xdr:row>19</xdr:row>
      <xdr:rowOff>114602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E5DB8F4B-0513-4FFF-81D7-60D6C90C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2960" y="83820"/>
          <a:ext cx="4549534" cy="350550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95249</xdr:colOff>
      <xdr:row>0</xdr:row>
      <xdr:rowOff>85725</xdr:rowOff>
    </xdr:from>
    <xdr:to>
      <xdr:col>24</xdr:col>
      <xdr:colOff>86654</xdr:colOff>
      <xdr:row>27</xdr:row>
      <xdr:rowOff>161925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052BD3B1-FE4F-2094-A1F0-81E949F9AE22}"/>
            </a:ext>
          </a:extLst>
        </xdr:cNvPr>
        <xdr:cNvGrpSpPr/>
      </xdr:nvGrpSpPr>
      <xdr:grpSpPr>
        <a:xfrm>
          <a:off x="2244089" y="85725"/>
          <a:ext cx="13402605" cy="5029200"/>
          <a:chOff x="2247899" y="161925"/>
          <a:chExt cx="13402605" cy="5238750"/>
        </a:xfrm>
      </xdr:grpSpPr>
      <xdr:grpSp>
        <xdr:nvGrpSpPr>
          <xdr:cNvPr id="3" name="Agrupar 2">
            <a:extLst>
              <a:ext uri="{FF2B5EF4-FFF2-40B4-BE49-F238E27FC236}">
                <a16:creationId xmlns:a16="http://schemas.microsoft.com/office/drawing/2014/main" id="{DDBB7718-A710-2607-F350-648E554CFD90}"/>
              </a:ext>
            </a:extLst>
          </xdr:cNvPr>
          <xdr:cNvGrpSpPr/>
        </xdr:nvGrpSpPr>
        <xdr:grpSpPr>
          <a:xfrm>
            <a:off x="2247899" y="180975"/>
            <a:ext cx="6562726" cy="2771775"/>
            <a:chOff x="2247899" y="180975"/>
            <a:chExt cx="6562726" cy="2781300"/>
          </a:xfrm>
        </xdr:grpSpPr>
        <xdr:pic>
          <xdr:nvPicPr>
            <xdr:cNvPr id="4" name="Imagem 3">
              <a:extLst>
                <a:ext uri="{FF2B5EF4-FFF2-40B4-BE49-F238E27FC236}">
                  <a16:creationId xmlns:a16="http://schemas.microsoft.com/office/drawing/2014/main" id="{2F45CD17-ECFE-D2C3-4620-1CD81C3D68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2257424" y="180975"/>
              <a:ext cx="6477904" cy="2086266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  <xdr:sp macro="" textlink="">
          <xdr:nvSpPr>
            <xdr:cNvPr id="5" name="CaixaDeTexto 4">
              <a:extLst>
                <a:ext uri="{FF2B5EF4-FFF2-40B4-BE49-F238E27FC236}">
                  <a16:creationId xmlns:a16="http://schemas.microsoft.com/office/drawing/2014/main" id="{79014C8E-E078-4444-886D-39819C089025}"/>
                </a:ext>
              </a:extLst>
            </xdr:cNvPr>
            <xdr:cNvSpPr txBox="1"/>
          </xdr:nvSpPr>
          <xdr:spPr>
            <a:xfrm>
              <a:off x="2247899" y="2343150"/>
              <a:ext cx="6562726" cy="619125"/>
            </a:xfrm>
            <a:prstGeom prst="rect">
              <a:avLst/>
            </a:prstGeom>
            <a:solidFill>
              <a:schemeClr val="bg1">
                <a:lumMod val="95000"/>
              </a:schemeClr>
            </a:solidFill>
            <a:ln w="12700" cmpd="sng"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 anchorCtr="0"/>
            <a:lstStyle/>
            <a:p>
              <a:r>
                <a:rPr lang="pt-BR" sz="1600"/>
                <a:t>Dados de yields não disponíveis na tese</a:t>
              </a:r>
              <a:r>
                <a:rPr lang="pt-BR" sz="1600" baseline="0"/>
                <a:t> nem</a:t>
              </a:r>
              <a:r>
                <a:rPr lang="pt-BR" sz="1600"/>
                <a:t> no artigo de Akbarzadeh (2005 )</a:t>
              </a:r>
            </a:p>
          </xdr:txBody>
        </xdr:sp>
      </xdr:grp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D0EEFFE2-36A3-4207-A0F5-F151A5ABE2C6}"/>
              </a:ext>
            </a:extLst>
          </xdr:cNvPr>
          <xdr:cNvSpPr txBox="1"/>
        </xdr:nvSpPr>
        <xdr:spPr>
          <a:xfrm>
            <a:off x="9134924" y="3590925"/>
            <a:ext cx="6352725" cy="1809750"/>
          </a:xfrm>
          <a:prstGeom prst="rect">
            <a:avLst/>
          </a:prstGeom>
          <a:noFill/>
          <a:ln w="38100" cmpd="sng">
            <a:solidFill>
              <a:srgbClr val="FF000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/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As variáveis destacadas acima alimentam</a:t>
            </a:r>
            <a:r>
              <a:rPr lang="pt-BR" sz="1400" baseline="0"/>
              <a:t> o</a:t>
            </a:r>
            <a:r>
              <a:rPr lang="pt-BR" sz="1400"/>
              <a:t> arquivo</a:t>
            </a:r>
            <a:r>
              <a:rPr lang="pt-BR" sz="1400" baseline="0"/>
              <a:t>: </a:t>
            </a:r>
            <a:r>
              <a:rPr lang="pt-BR" sz="14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'variáveis_entrada_código.txt'</a:t>
            </a:r>
            <a:endParaRPr lang="pt-BR" sz="1400"/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n_agregados = 30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MWmin</a:t>
            </a:r>
            <a:r>
              <a:rPr lang="pt-BR" sz="1400" baseline="0"/>
              <a:t> = 1800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 baseline="0"/>
              <a:t>MWmax = 30000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 baseline="0"/>
              <a:t>alfa = 3.5 (Obs: embora o Tharanivasan chame </a:t>
            </a: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de </a:t>
            </a:r>
            <a:r>
              <a:rPr lang="el-G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β</a:t>
            </a: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, no nosso código o fator de forma da distribuição Gamma é a variável 'alfa'.)</a:t>
            </a:r>
            <a:b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</a:b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MWavg = 3620.</a:t>
            </a:r>
            <a:endParaRPr lang="pt-BR" sz="1400">
              <a:effectLst/>
            </a:endParaRPr>
          </a:p>
        </xdr:txBody>
      </xdr:sp>
      <xdr:pic>
        <xdr:nvPicPr>
          <xdr:cNvPr id="9" name="Imagem 8">
            <a:extLst>
              <a:ext uri="{FF2B5EF4-FFF2-40B4-BE49-F238E27FC236}">
                <a16:creationId xmlns:a16="http://schemas.microsoft.com/office/drawing/2014/main" id="{7DE916B6-DB86-783F-6154-AC088108EEE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8991600" y="161925"/>
            <a:ext cx="6658904" cy="3334215"/>
          </a:xfrm>
          <a:prstGeom prst="rect">
            <a:avLst/>
          </a:prstGeom>
          <a:ln>
            <a:solidFill>
              <a:sysClr val="windowText" lastClr="000000"/>
            </a:solidFill>
          </a:ln>
        </xdr:spPr>
      </xdr:pic>
    </xdr:grp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95250</xdr:colOff>
      <xdr:row>0</xdr:row>
      <xdr:rowOff>85725</xdr:rowOff>
    </xdr:from>
    <xdr:to>
      <xdr:col>24</xdr:col>
      <xdr:colOff>86655</xdr:colOff>
      <xdr:row>27</xdr:row>
      <xdr:rowOff>161925</xdr:rowOff>
    </xdr:to>
    <xdr:grpSp>
      <xdr:nvGrpSpPr>
        <xdr:cNvPr id="25" name="Agrupar 24">
          <a:extLst>
            <a:ext uri="{FF2B5EF4-FFF2-40B4-BE49-F238E27FC236}">
              <a16:creationId xmlns:a16="http://schemas.microsoft.com/office/drawing/2014/main" id="{53968D36-3DA9-4D54-9522-D39A94ACAE68}"/>
            </a:ext>
          </a:extLst>
        </xdr:cNvPr>
        <xdr:cNvGrpSpPr/>
      </xdr:nvGrpSpPr>
      <xdr:grpSpPr>
        <a:xfrm>
          <a:off x="2244090" y="85725"/>
          <a:ext cx="13402605" cy="5029200"/>
          <a:chOff x="2247899" y="161925"/>
          <a:chExt cx="13402605" cy="5238750"/>
        </a:xfrm>
      </xdr:grpSpPr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C25C9AF1-156B-3761-598D-C3C4295701D6}"/>
              </a:ext>
            </a:extLst>
          </xdr:cNvPr>
          <xdr:cNvGrpSpPr/>
        </xdr:nvGrpSpPr>
        <xdr:grpSpPr>
          <a:xfrm>
            <a:off x="2247899" y="180975"/>
            <a:ext cx="6562726" cy="2771775"/>
            <a:chOff x="2247899" y="180975"/>
            <a:chExt cx="6562726" cy="2781300"/>
          </a:xfrm>
        </xdr:grpSpPr>
        <xdr:pic>
          <xdr:nvPicPr>
            <xdr:cNvPr id="29" name="Imagem 28">
              <a:extLst>
                <a:ext uri="{FF2B5EF4-FFF2-40B4-BE49-F238E27FC236}">
                  <a16:creationId xmlns:a16="http://schemas.microsoft.com/office/drawing/2014/main" id="{849AF2FF-3274-29C8-3874-76770A406A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2257424" y="180975"/>
              <a:ext cx="6477904" cy="2086266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  <xdr:sp macro="" textlink="">
          <xdr:nvSpPr>
            <xdr:cNvPr id="30" name="CaixaDeTexto 29">
              <a:extLst>
                <a:ext uri="{FF2B5EF4-FFF2-40B4-BE49-F238E27FC236}">
                  <a16:creationId xmlns:a16="http://schemas.microsoft.com/office/drawing/2014/main" id="{0F186139-CA6F-D4C3-0DEC-81292A77E937}"/>
                </a:ext>
              </a:extLst>
            </xdr:cNvPr>
            <xdr:cNvSpPr txBox="1"/>
          </xdr:nvSpPr>
          <xdr:spPr>
            <a:xfrm>
              <a:off x="2247899" y="2343150"/>
              <a:ext cx="6562726" cy="619125"/>
            </a:xfrm>
            <a:prstGeom prst="rect">
              <a:avLst/>
            </a:prstGeom>
            <a:solidFill>
              <a:schemeClr val="bg1">
                <a:lumMod val="95000"/>
              </a:schemeClr>
            </a:solidFill>
            <a:ln w="12700" cmpd="sng"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 anchorCtr="0"/>
            <a:lstStyle/>
            <a:p>
              <a:r>
                <a:rPr lang="pt-BR" sz="1600"/>
                <a:t>Dados de yields não disponíveis na tese</a:t>
              </a:r>
              <a:r>
                <a:rPr lang="pt-BR" sz="1600" baseline="0"/>
                <a:t> nem</a:t>
              </a:r>
              <a:r>
                <a:rPr lang="pt-BR" sz="1600"/>
                <a:t> no artigo de Akbarzadeh (2005 )</a:t>
              </a:r>
            </a:p>
          </xdr:txBody>
        </xdr:sp>
      </xdr:grpSp>
      <xdr:sp macro="" textlink="">
        <xdr:nvSpPr>
          <xdr:cNvPr id="27" name="CaixaDeTexto 26">
            <a:extLst>
              <a:ext uri="{FF2B5EF4-FFF2-40B4-BE49-F238E27FC236}">
                <a16:creationId xmlns:a16="http://schemas.microsoft.com/office/drawing/2014/main" id="{E10E8137-221D-8EED-A69B-489E8FC357F0}"/>
              </a:ext>
            </a:extLst>
          </xdr:cNvPr>
          <xdr:cNvSpPr txBox="1"/>
        </xdr:nvSpPr>
        <xdr:spPr>
          <a:xfrm>
            <a:off x="9134924" y="3590925"/>
            <a:ext cx="6352725" cy="1809750"/>
          </a:xfrm>
          <a:prstGeom prst="rect">
            <a:avLst/>
          </a:prstGeom>
          <a:noFill/>
          <a:ln w="38100" cmpd="sng">
            <a:solidFill>
              <a:srgbClr val="FF000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/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As variáveis destacadas acima alimentam</a:t>
            </a:r>
            <a:r>
              <a:rPr lang="pt-BR" sz="1400" baseline="0"/>
              <a:t> o</a:t>
            </a:r>
            <a:r>
              <a:rPr lang="pt-BR" sz="1400"/>
              <a:t> arquivo</a:t>
            </a:r>
            <a:r>
              <a:rPr lang="pt-BR" sz="1400" baseline="0"/>
              <a:t>: </a:t>
            </a:r>
            <a:r>
              <a:rPr lang="pt-BR" sz="14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'variáveis_entrada_código.txt'</a:t>
            </a:r>
            <a:endParaRPr lang="pt-BR" sz="1400"/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n_agregados = 30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MWmin</a:t>
            </a:r>
            <a:r>
              <a:rPr lang="pt-BR" sz="1400" baseline="0"/>
              <a:t> = 1800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 baseline="0"/>
              <a:t>MWmax = 30000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 baseline="0"/>
              <a:t>alfa = 3.5 (Obs: embora o Tharanivasan chame </a:t>
            </a: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de </a:t>
            </a:r>
            <a:r>
              <a:rPr lang="el-G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β</a:t>
            </a: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, no nosso código o fator de forma da distribuição Gamma é a variável 'alfa'.)</a:t>
            </a:r>
            <a:b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</a:b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MWavg = 3620.</a:t>
            </a:r>
            <a:endParaRPr lang="pt-BR" sz="1400">
              <a:effectLst/>
            </a:endParaRPr>
          </a:p>
        </xdr:txBody>
      </xdr:sp>
      <xdr:pic>
        <xdr:nvPicPr>
          <xdr:cNvPr id="28" name="Imagem 27">
            <a:extLst>
              <a:ext uri="{FF2B5EF4-FFF2-40B4-BE49-F238E27FC236}">
                <a16:creationId xmlns:a16="http://schemas.microsoft.com/office/drawing/2014/main" id="{FA3EA911-3789-42A7-568B-623D99FB587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8991600" y="161925"/>
            <a:ext cx="6658904" cy="3334215"/>
          </a:xfrm>
          <a:prstGeom prst="rect">
            <a:avLst/>
          </a:prstGeom>
          <a:ln>
            <a:solidFill>
              <a:sysClr val="windowText" lastClr="000000"/>
            </a:solidFill>
          </a:ln>
        </xdr:spPr>
      </xdr:pic>
    </xdr:grp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95249</xdr:colOff>
      <xdr:row>0</xdr:row>
      <xdr:rowOff>85725</xdr:rowOff>
    </xdr:from>
    <xdr:to>
      <xdr:col>24</xdr:col>
      <xdr:colOff>86654</xdr:colOff>
      <xdr:row>27</xdr:row>
      <xdr:rowOff>161925</xdr:rowOff>
    </xdr:to>
    <xdr:grpSp>
      <xdr:nvGrpSpPr>
        <xdr:cNvPr id="2" name="Agrupar 1">
          <a:extLst>
            <a:ext uri="{FF2B5EF4-FFF2-40B4-BE49-F238E27FC236}">
              <a16:creationId xmlns:a16="http://schemas.microsoft.com/office/drawing/2014/main" id="{8C10AC3F-B1BF-4859-8990-4072DF2DCCB5}"/>
            </a:ext>
          </a:extLst>
        </xdr:cNvPr>
        <xdr:cNvGrpSpPr/>
      </xdr:nvGrpSpPr>
      <xdr:grpSpPr>
        <a:xfrm>
          <a:off x="2244089" y="85725"/>
          <a:ext cx="13402605" cy="5029200"/>
          <a:chOff x="2247899" y="161925"/>
          <a:chExt cx="13402605" cy="5238750"/>
        </a:xfrm>
      </xdr:grpSpPr>
      <xdr:grpSp>
        <xdr:nvGrpSpPr>
          <xdr:cNvPr id="3" name="Agrupar 2">
            <a:extLst>
              <a:ext uri="{FF2B5EF4-FFF2-40B4-BE49-F238E27FC236}">
                <a16:creationId xmlns:a16="http://schemas.microsoft.com/office/drawing/2014/main" id="{63B31CE4-67CF-C999-3B90-9D412EB91180}"/>
              </a:ext>
            </a:extLst>
          </xdr:cNvPr>
          <xdr:cNvGrpSpPr/>
        </xdr:nvGrpSpPr>
        <xdr:grpSpPr>
          <a:xfrm>
            <a:off x="2247899" y="180975"/>
            <a:ext cx="6562726" cy="2771775"/>
            <a:chOff x="2247899" y="180975"/>
            <a:chExt cx="6562726" cy="2781300"/>
          </a:xfrm>
        </xdr:grpSpPr>
        <xdr:pic>
          <xdr:nvPicPr>
            <xdr:cNvPr id="6" name="Imagem 5">
              <a:extLst>
                <a:ext uri="{FF2B5EF4-FFF2-40B4-BE49-F238E27FC236}">
                  <a16:creationId xmlns:a16="http://schemas.microsoft.com/office/drawing/2014/main" id="{7A9D735A-D168-1177-1659-D6D0FCECF3C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2257424" y="180975"/>
              <a:ext cx="6477904" cy="2086266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  <xdr:sp macro="" textlink="">
          <xdr:nvSpPr>
            <xdr:cNvPr id="7" name="CaixaDeTexto 6">
              <a:extLst>
                <a:ext uri="{FF2B5EF4-FFF2-40B4-BE49-F238E27FC236}">
                  <a16:creationId xmlns:a16="http://schemas.microsoft.com/office/drawing/2014/main" id="{AE5D2B50-D126-7B99-2D63-9ACD1C9F81C2}"/>
                </a:ext>
              </a:extLst>
            </xdr:cNvPr>
            <xdr:cNvSpPr txBox="1"/>
          </xdr:nvSpPr>
          <xdr:spPr>
            <a:xfrm>
              <a:off x="2247899" y="2343150"/>
              <a:ext cx="6562726" cy="619125"/>
            </a:xfrm>
            <a:prstGeom prst="rect">
              <a:avLst/>
            </a:prstGeom>
            <a:solidFill>
              <a:schemeClr val="bg1">
                <a:lumMod val="95000"/>
              </a:schemeClr>
            </a:solidFill>
            <a:ln w="12700" cmpd="sng"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 anchorCtr="0"/>
            <a:lstStyle/>
            <a:p>
              <a:r>
                <a:rPr lang="pt-BR" sz="1600"/>
                <a:t>Dados de yields não disponíveis na tese</a:t>
              </a:r>
              <a:r>
                <a:rPr lang="pt-BR" sz="1600" baseline="0"/>
                <a:t> nem</a:t>
              </a:r>
              <a:r>
                <a:rPr lang="pt-BR" sz="1600"/>
                <a:t> no artigo de Akbarzadeh (2005 )</a:t>
              </a:r>
            </a:p>
          </xdr:txBody>
        </xdr:sp>
      </xdr:grpSp>
      <xdr:sp macro="" textlink="">
        <xdr:nvSpPr>
          <xdr:cNvPr id="4" name="CaixaDeTexto 3">
            <a:extLst>
              <a:ext uri="{FF2B5EF4-FFF2-40B4-BE49-F238E27FC236}">
                <a16:creationId xmlns:a16="http://schemas.microsoft.com/office/drawing/2014/main" id="{9B849BE8-AEF1-1C25-3AE1-6E202F98E869}"/>
              </a:ext>
            </a:extLst>
          </xdr:cNvPr>
          <xdr:cNvSpPr txBox="1"/>
        </xdr:nvSpPr>
        <xdr:spPr>
          <a:xfrm>
            <a:off x="9134924" y="3590925"/>
            <a:ext cx="6352725" cy="1809750"/>
          </a:xfrm>
          <a:prstGeom prst="rect">
            <a:avLst/>
          </a:prstGeom>
          <a:noFill/>
          <a:ln w="38100" cmpd="sng">
            <a:solidFill>
              <a:srgbClr val="FF000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/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As variáveis destacadas acima alimentam</a:t>
            </a:r>
            <a:r>
              <a:rPr lang="pt-BR" sz="1400" baseline="0"/>
              <a:t> o</a:t>
            </a:r>
            <a:r>
              <a:rPr lang="pt-BR" sz="1400"/>
              <a:t> arquivo</a:t>
            </a:r>
            <a:r>
              <a:rPr lang="pt-BR" sz="1400" baseline="0"/>
              <a:t>: </a:t>
            </a:r>
            <a:r>
              <a:rPr lang="pt-BR" sz="14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'variáveis_entrada_código.txt'</a:t>
            </a:r>
            <a:endParaRPr lang="pt-BR" sz="1400"/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n_agregados = 30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MWmin</a:t>
            </a:r>
            <a:r>
              <a:rPr lang="pt-BR" sz="1400" baseline="0"/>
              <a:t> = 1800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 baseline="0"/>
              <a:t>MWmax = 30000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 baseline="0"/>
              <a:t>alfa = 3.5 (Obs: embora o Tharanivasan chame </a:t>
            </a: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de </a:t>
            </a:r>
            <a:r>
              <a:rPr lang="el-G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β</a:t>
            </a: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, no nosso código o fator de forma da distribuição Gamma é a variável 'alfa'.)</a:t>
            </a:r>
            <a:b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</a:b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MWavg = 3620.</a:t>
            </a:r>
            <a:endParaRPr lang="pt-BR" sz="1400">
              <a:effectLst/>
            </a:endParaRPr>
          </a:p>
        </xdr:txBody>
      </xdr:sp>
      <xdr:pic>
        <xdr:nvPicPr>
          <xdr:cNvPr id="5" name="Imagem 4">
            <a:extLst>
              <a:ext uri="{FF2B5EF4-FFF2-40B4-BE49-F238E27FC236}">
                <a16:creationId xmlns:a16="http://schemas.microsoft.com/office/drawing/2014/main" id="{816FA57E-8AD0-F35D-5399-72836AF2C65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8991600" y="161925"/>
            <a:ext cx="6658904" cy="3334215"/>
          </a:xfrm>
          <a:prstGeom prst="rect">
            <a:avLst/>
          </a:prstGeom>
          <a:ln>
            <a:solidFill>
              <a:sysClr val="windowText" lastClr="000000"/>
            </a:solidFill>
          </a:ln>
        </xdr:spPr>
      </xdr:pic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4EB85-C00D-4DDE-AA79-FCAA285160FB}">
  <dimension ref="A1:B35"/>
  <sheetViews>
    <sheetView showGridLines="0" zoomScaleNormal="100" workbookViewId="0">
      <selection activeCell="B5" sqref="B5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31.726299999999998</v>
      </c>
    </row>
    <row r="3" spans="1:2" x14ac:dyDescent="0.3">
      <c r="A3" s="3" t="s">
        <v>7</v>
      </c>
      <c r="B3" s="5">
        <v>27.2151</v>
      </c>
    </row>
    <row r="4" spans="1:2" x14ac:dyDescent="0.3">
      <c r="A4" s="3" t="s">
        <v>1</v>
      </c>
      <c r="B4" s="5">
        <v>34.716700000000003</v>
      </c>
    </row>
    <row r="5" spans="1:2" ht="15" thickBot="1" x14ac:dyDescent="0.35">
      <c r="A5" s="3" t="s">
        <v>2</v>
      </c>
      <c r="B5" s="6">
        <v>6.3418999999999999</v>
      </c>
    </row>
    <row r="6" spans="1:2" x14ac:dyDescent="0.3">
      <c r="A6" s="2" t="s">
        <v>6</v>
      </c>
      <c r="B6" s="14">
        <v>298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0.65035395900000004</v>
      </c>
      <c r="B9" s="14">
        <v>5.1863426300000001E-3</v>
      </c>
    </row>
    <row r="10" spans="1:2" x14ac:dyDescent="0.3">
      <c r="A10" s="19">
        <v>0.70030734299999997</v>
      </c>
      <c r="B10" s="14">
        <v>1.6792674100000002E-2</v>
      </c>
    </row>
    <row r="11" spans="1:2" x14ac:dyDescent="0.3">
      <c r="A11" s="19">
        <v>0.75092592599999997</v>
      </c>
      <c r="B11" s="14">
        <v>3.0681536559999997E-2</v>
      </c>
    </row>
    <row r="12" spans="1:2" x14ac:dyDescent="0.3">
      <c r="A12" s="19">
        <v>0.81134431200000001</v>
      </c>
      <c r="B12" s="14">
        <v>4.4242223689999999E-2</v>
      </c>
    </row>
    <row r="13" spans="1:2" x14ac:dyDescent="0.3">
      <c r="A13" s="19">
        <v>0.85</v>
      </c>
      <c r="B13" s="14">
        <v>5.4065000000000002E-2</v>
      </c>
    </row>
    <row r="14" spans="1:2" x14ac:dyDescent="0.3">
      <c r="A14" s="19">
        <v>0.90012062800000003</v>
      </c>
      <c r="B14" s="14">
        <v>5.9044938299999995E-2</v>
      </c>
    </row>
    <row r="18" spans="1:2" x14ac:dyDescent="0.3">
      <c r="A18" s="20"/>
      <c r="B18" s="20"/>
    </row>
    <row r="19" spans="1:2" x14ac:dyDescent="0.3">
      <c r="A19" s="23"/>
      <c r="B19" s="23"/>
    </row>
    <row r="20" spans="1:2" x14ac:dyDescent="0.3">
      <c r="A20" s="24"/>
      <c r="B20" s="23"/>
    </row>
    <row r="21" spans="1:2" x14ac:dyDescent="0.3">
      <c r="A21" s="24"/>
      <c r="B21" s="23"/>
    </row>
    <row r="22" spans="1:2" x14ac:dyDescent="0.3">
      <c r="A22" s="24"/>
      <c r="B22" s="23"/>
    </row>
    <row r="23" spans="1:2" x14ac:dyDescent="0.3">
      <c r="A23" s="24"/>
      <c r="B23" s="23"/>
    </row>
    <row r="24" spans="1:2" x14ac:dyDescent="0.3">
      <c r="A24" s="24"/>
      <c r="B24" s="23"/>
    </row>
    <row r="25" spans="1:2" x14ac:dyDescent="0.3">
      <c r="A25" s="24"/>
      <c r="B25" s="23"/>
    </row>
    <row r="26" spans="1:2" x14ac:dyDescent="0.3">
      <c r="A26" s="21"/>
      <c r="B26" s="21"/>
    </row>
    <row r="28" spans="1:2" x14ac:dyDescent="0.3">
      <c r="B28" s="25"/>
    </row>
    <row r="29" spans="1:2" x14ac:dyDescent="0.3">
      <c r="B29" s="25"/>
    </row>
    <row r="30" spans="1:2" x14ac:dyDescent="0.3">
      <c r="B30" s="25"/>
    </row>
    <row r="31" spans="1:2" x14ac:dyDescent="0.3">
      <c r="B31" s="25"/>
    </row>
    <row r="32" spans="1:2" x14ac:dyDescent="0.3">
      <c r="B32" s="25"/>
    </row>
    <row r="33" spans="2:2" x14ac:dyDescent="0.3">
      <c r="B33" s="25"/>
    </row>
    <row r="34" spans="2:2" x14ac:dyDescent="0.3">
      <c r="B34" s="25"/>
    </row>
    <row r="35" spans="2:2" x14ac:dyDescent="0.3">
      <c r="B35" s="25"/>
    </row>
  </sheetData>
  <dataValidations disablePrompts="1" count="1">
    <dataValidation type="list" allowBlank="1" showInputMessage="1" showErrorMessage="1" sqref="B7" xr:uid="{0DCF16C9-1415-4C98-BF99-06B61AC9B104}">
      <formula1>"n-heptano, n-pentano"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DD2F0-32CF-464D-8480-E0EACECA597C}">
  <dimension ref="A1:B16"/>
  <sheetViews>
    <sheetView showGridLines="0" workbookViewId="0">
      <selection activeCell="B1" sqref="B1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37</v>
      </c>
    </row>
    <row r="3" spans="1:2" x14ac:dyDescent="0.3">
      <c r="A3" s="3" t="s">
        <v>7</v>
      </c>
      <c r="B3" s="5">
        <v>25</v>
      </c>
    </row>
    <row r="4" spans="1:2" x14ac:dyDescent="0.3">
      <c r="A4" s="3" t="s">
        <v>1</v>
      </c>
      <c r="B4" s="5">
        <v>32</v>
      </c>
    </row>
    <row r="5" spans="1:2" ht="15" thickBot="1" x14ac:dyDescent="0.35">
      <c r="A5" s="3" t="s">
        <v>2</v>
      </c>
      <c r="B5" s="6">
        <v>6.29</v>
      </c>
    </row>
    <row r="6" spans="1:2" x14ac:dyDescent="0.3">
      <c r="A6" s="2" t="s">
        <v>6</v>
      </c>
      <c r="B6" s="14">
        <v>298</v>
      </c>
    </row>
    <row r="7" spans="1:2" x14ac:dyDescent="0.3">
      <c r="A7" s="7" t="s">
        <v>3</v>
      </c>
      <c r="B7" s="15" t="s">
        <v>4</v>
      </c>
    </row>
    <row r="8" spans="1:2" ht="15" thickBot="1" x14ac:dyDescent="0.35">
      <c r="A8" s="7" t="s">
        <v>5</v>
      </c>
      <c r="B8" s="18" t="s">
        <v>11</v>
      </c>
    </row>
    <row r="9" spans="1:2" x14ac:dyDescent="0.3">
      <c r="A9" s="8">
        <v>0.55000000000000004</v>
      </c>
      <c r="B9" s="11">
        <v>1E-3</v>
      </c>
    </row>
    <row r="10" spans="1:2" x14ac:dyDescent="0.3">
      <c r="A10" s="9">
        <v>0.6</v>
      </c>
      <c r="B10" s="12">
        <v>6.0000000000000001E-3</v>
      </c>
    </row>
    <row r="11" spans="1:2" x14ac:dyDescent="0.3">
      <c r="A11" s="9">
        <v>0.65</v>
      </c>
      <c r="B11" s="12">
        <v>1.6E-2</v>
      </c>
    </row>
    <row r="12" spans="1:2" x14ac:dyDescent="0.3">
      <c r="A12" s="9">
        <v>0.7</v>
      </c>
      <c r="B12" s="12">
        <v>2.7E-2</v>
      </c>
    </row>
    <row r="13" spans="1:2" x14ac:dyDescent="0.3">
      <c r="A13" s="9">
        <v>0.75</v>
      </c>
      <c r="B13" s="12">
        <v>3.9E-2</v>
      </c>
    </row>
    <row r="14" spans="1:2" x14ac:dyDescent="0.3">
      <c r="A14" s="9">
        <v>0.8</v>
      </c>
      <c r="B14" s="12">
        <v>4.8000000000000001E-2</v>
      </c>
    </row>
    <row r="15" spans="1:2" x14ac:dyDescent="0.3">
      <c r="A15" s="9">
        <v>0.85</v>
      </c>
      <c r="B15" s="12">
        <v>5.7000000000000002E-2</v>
      </c>
    </row>
    <row r="16" spans="1:2" ht="15" thickBot="1" x14ac:dyDescent="0.35">
      <c r="A16" s="10">
        <v>0.9</v>
      </c>
      <c r="B16" s="13">
        <v>6.5000000000000002E-2</v>
      </c>
    </row>
  </sheetData>
  <dataValidations count="1">
    <dataValidation type="list" allowBlank="1" showInputMessage="1" showErrorMessage="1" sqref="B7" xr:uid="{BDEE1EB3-638C-4EA4-9793-A0DAD1DBAC9A}">
      <formula1>"n-heptano, n-pentano"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97512-EA24-4634-8E9F-DFB374DA6616}">
  <dimension ref="A1:H18"/>
  <sheetViews>
    <sheetView showGridLines="0" workbookViewId="0">
      <selection activeCell="A19" sqref="A19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43</v>
      </c>
    </row>
    <row r="3" spans="1:2" x14ac:dyDescent="0.3">
      <c r="A3" s="3" t="s">
        <v>7</v>
      </c>
      <c r="B3" s="5">
        <v>26</v>
      </c>
    </row>
    <row r="4" spans="1:2" x14ac:dyDescent="0.3">
      <c r="A4" s="3" t="s">
        <v>1</v>
      </c>
      <c r="B4" s="5">
        <v>30</v>
      </c>
    </row>
    <row r="5" spans="1:2" ht="15" thickBot="1" x14ac:dyDescent="0.35">
      <c r="A5" s="3" t="s">
        <v>2</v>
      </c>
      <c r="B5" s="6">
        <v>1.55</v>
      </c>
    </row>
    <row r="6" spans="1:2" x14ac:dyDescent="0.3">
      <c r="A6" s="2" t="s">
        <v>6</v>
      </c>
      <c r="B6" s="14">
        <v>298.14999999999998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22">
        <v>0.40307503049059501</v>
      </c>
      <c r="B9" s="22">
        <v>5.42635650891516E-4</v>
      </c>
    </row>
    <row r="10" spans="1:2" x14ac:dyDescent="0.3">
      <c r="A10" s="22">
        <v>0.50086103293641204</v>
      </c>
      <c r="B10" s="22">
        <v>5.42635650891516E-4</v>
      </c>
    </row>
    <row r="11" spans="1:2" x14ac:dyDescent="0.3">
      <c r="A11" s="22">
        <v>0.59926200863547896</v>
      </c>
      <c r="B11" s="22">
        <v>6.5116112507722596E-4</v>
      </c>
    </row>
    <row r="12" spans="1:2" x14ac:dyDescent="0.3">
      <c r="A12" s="22">
        <v>0.65153752697560796</v>
      </c>
      <c r="B12" s="22">
        <v>7.5969487922587298E-4</v>
      </c>
    </row>
    <row r="13" spans="1:2" x14ac:dyDescent="0.3">
      <c r="A13" s="22">
        <v>0.69950797447615798</v>
      </c>
      <c r="B13" s="22">
        <v>7.5969487922587298E-4</v>
      </c>
    </row>
    <row r="14" spans="1:2" x14ac:dyDescent="0.3">
      <c r="A14" s="22">
        <v>0.74993850267467499</v>
      </c>
      <c r="B14" s="22">
        <v>7.5969487922587298E-4</v>
      </c>
    </row>
    <row r="15" spans="1:2" x14ac:dyDescent="0.3">
      <c r="A15" s="22">
        <v>0.74993850267467499</v>
      </c>
      <c r="B15" s="22">
        <v>7.5969487922587298E-4</v>
      </c>
    </row>
    <row r="16" spans="1:2" x14ac:dyDescent="0.3">
      <c r="A16" s="22">
        <v>0.799138990524208</v>
      </c>
      <c r="B16" s="22">
        <v>3.36433937953477E-3</v>
      </c>
    </row>
    <row r="17" spans="1:8" x14ac:dyDescent="0.3">
      <c r="A17" s="22">
        <v>0.85018446851535401</v>
      </c>
      <c r="B17" s="22">
        <v>6.5116278106980997E-3</v>
      </c>
    </row>
    <row r="18" spans="1:8" x14ac:dyDescent="0.3">
      <c r="A18" s="22">
        <v>0.89877000657225803</v>
      </c>
      <c r="B18" s="22">
        <v>1.0418602841124299E-2</v>
      </c>
      <c r="D18" s="28" t="s">
        <v>12</v>
      </c>
      <c r="E18" s="28"/>
      <c r="F18" s="28"/>
      <c r="G18" s="28"/>
      <c r="H18" s="28"/>
    </row>
  </sheetData>
  <mergeCells count="1">
    <mergeCell ref="D18:H18"/>
  </mergeCells>
  <dataValidations disablePrompts="1" count="1">
    <dataValidation type="list" allowBlank="1" showInputMessage="1" showErrorMessage="1" sqref="B7" xr:uid="{D6508D5C-EDB0-4444-9F54-9DBB4E47E2F2}">
      <formula1>"n-heptano, n-pentano"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9846E-4BE6-48C3-91DB-C7394031C673}">
  <dimension ref="A1:H20"/>
  <sheetViews>
    <sheetView workbookViewId="0">
      <selection activeCell="A12" sqref="A12"/>
    </sheetView>
  </sheetViews>
  <sheetFormatPr defaultRowHeight="14.4" x14ac:dyDescent="0.3"/>
  <cols>
    <col min="1" max="2" width="15.5546875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31.726299999999998</v>
      </c>
    </row>
    <row r="3" spans="1:2" x14ac:dyDescent="0.3">
      <c r="A3" s="3" t="s">
        <v>7</v>
      </c>
      <c r="B3" s="5">
        <v>27.2151</v>
      </c>
    </row>
    <row r="4" spans="1:2" x14ac:dyDescent="0.3">
      <c r="A4" s="3" t="s">
        <v>1</v>
      </c>
      <c r="B4" s="5">
        <v>34.716700000000003</v>
      </c>
    </row>
    <row r="5" spans="1:2" ht="15" thickBot="1" x14ac:dyDescent="0.35">
      <c r="A5" s="3" t="s">
        <v>2</v>
      </c>
      <c r="B5" s="6">
        <v>6.3418999999999999</v>
      </c>
    </row>
    <row r="6" spans="1:2" x14ac:dyDescent="0.3">
      <c r="A6" s="2" t="s">
        <v>6</v>
      </c>
      <c r="B6" s="14">
        <f>273.15+5</f>
        <v>278.14999999999998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26">
        <v>0.39937236000501602</v>
      </c>
      <c r="B9" s="26">
        <v>4.8785133091925901E-3</v>
      </c>
    </row>
    <row r="10" spans="1:2" x14ac:dyDescent="0.3">
      <c r="A10" s="26">
        <v>0.451255237427102</v>
      </c>
      <c r="B10" s="26">
        <v>4.54206345160201E-3</v>
      </c>
    </row>
    <row r="11" spans="1:2" x14ac:dyDescent="0.3">
      <c r="A11" s="26">
        <v>0.499790758293094</v>
      </c>
      <c r="B11" s="26">
        <v>4.0373918738397596E-3</v>
      </c>
    </row>
    <row r="12" spans="1:2" x14ac:dyDescent="0.3">
      <c r="A12" s="26">
        <v>0.54999995743713403</v>
      </c>
      <c r="B12" s="26">
        <v>3.8691637364208298E-3</v>
      </c>
    </row>
    <row r="13" spans="1:2" x14ac:dyDescent="0.3">
      <c r="A13" s="26">
        <v>0.60020915658117302</v>
      </c>
      <c r="B13" s="26">
        <v>1.2616815113045099E-2</v>
      </c>
    </row>
    <row r="14" spans="1:2" x14ac:dyDescent="0.3">
      <c r="A14" s="26">
        <v>0.64958154850833905</v>
      </c>
      <c r="B14" s="26">
        <v>2.6579442490947201E-2</v>
      </c>
    </row>
    <row r="15" spans="1:2" x14ac:dyDescent="0.3">
      <c r="A15" s="26">
        <v>0.69979074765237803</v>
      </c>
      <c r="B15" s="26">
        <v>4.3738321055594401E-2</v>
      </c>
    </row>
    <row r="16" spans="1:2" x14ac:dyDescent="0.3">
      <c r="A16" s="26">
        <v>0.751673625074464</v>
      </c>
      <c r="B16" s="26">
        <v>5.9551403398502803E-2</v>
      </c>
    </row>
    <row r="17" spans="1:8" x14ac:dyDescent="0.3">
      <c r="A17" s="26">
        <v>0.800209145940457</v>
      </c>
      <c r="B17" s="26">
        <v>7.1327103493442401E-2</v>
      </c>
    </row>
    <row r="18" spans="1:8" x14ac:dyDescent="0.3">
      <c r="A18" s="26">
        <v>0.85041834508449698</v>
      </c>
      <c r="B18" s="26">
        <v>7.8897196411617895E-2</v>
      </c>
    </row>
    <row r="19" spans="1:8" x14ac:dyDescent="0.3">
      <c r="A19" s="26">
        <v>0.90062754422853597</v>
      </c>
      <c r="B19" s="26">
        <v>8.4953272992194795E-2</v>
      </c>
    </row>
    <row r="20" spans="1:8" x14ac:dyDescent="0.3">
      <c r="D20" s="28" t="s">
        <v>12</v>
      </c>
      <c r="E20" s="28"/>
      <c r="F20" s="28"/>
      <c r="G20" s="28"/>
      <c r="H20" s="28"/>
    </row>
  </sheetData>
  <mergeCells count="1">
    <mergeCell ref="D20:H20"/>
  </mergeCells>
  <dataValidations count="1">
    <dataValidation type="list" allowBlank="1" showInputMessage="1" showErrorMessage="1" sqref="B7" xr:uid="{617DEB09-F711-4141-A8DE-6968452326CC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55880-E0C2-438D-9EB5-ECC724CA1ECD}">
  <dimension ref="A1:H35"/>
  <sheetViews>
    <sheetView workbookViewId="0">
      <selection activeCell="L9" sqref="L9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31.726299999999998</v>
      </c>
    </row>
    <row r="3" spans="1:2" x14ac:dyDescent="0.3">
      <c r="A3" s="3" t="s">
        <v>7</v>
      </c>
      <c r="B3" s="5">
        <v>27.2151</v>
      </c>
    </row>
    <row r="4" spans="1:2" x14ac:dyDescent="0.3">
      <c r="A4" s="3" t="s">
        <v>1</v>
      </c>
      <c r="B4" s="5">
        <v>34.716700000000003</v>
      </c>
    </row>
    <row r="5" spans="1:2" ht="15" thickBot="1" x14ac:dyDescent="0.35">
      <c r="A5" s="3" t="s">
        <v>2</v>
      </c>
      <c r="B5" s="6">
        <v>6.3418999999999999</v>
      </c>
    </row>
    <row r="6" spans="1:2" x14ac:dyDescent="0.3">
      <c r="A6" s="2" t="s">
        <v>6</v>
      </c>
      <c r="B6" s="14">
        <f>273.15+25</f>
        <v>298.14999999999998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0.400209231066188</v>
      </c>
      <c r="B9" s="19">
        <v>1.8504710081246E-3</v>
      </c>
    </row>
    <row r="10" spans="1:2" x14ac:dyDescent="0.3">
      <c r="A10" s="19">
        <v>0.45041843021022798</v>
      </c>
      <c r="B10" s="19">
        <v>3.0280423010680198E-3</v>
      </c>
    </row>
    <row r="11" spans="1:2" x14ac:dyDescent="0.3">
      <c r="A11" s="19">
        <v>0.499790758293094</v>
      </c>
      <c r="B11" s="19">
        <v>2.85982058089635E-3</v>
      </c>
    </row>
    <row r="12" spans="1:2" x14ac:dyDescent="0.3">
      <c r="A12" s="19">
        <v>0.54999995743713403</v>
      </c>
      <c r="B12" s="19">
        <v>3.0280423010680198E-3</v>
      </c>
    </row>
    <row r="13" spans="1:2" x14ac:dyDescent="0.3">
      <c r="A13" s="19">
        <v>0.60020915658117302</v>
      </c>
      <c r="B13" s="19">
        <v>8.9158923485378096E-3</v>
      </c>
    </row>
    <row r="14" spans="1:2" x14ac:dyDescent="0.3">
      <c r="A14" s="19">
        <v>0.65125522678638603</v>
      </c>
      <c r="B14" s="19">
        <v>1.46355206758359E-2</v>
      </c>
    </row>
    <row r="15" spans="1:2" x14ac:dyDescent="0.3">
      <c r="A15" s="19">
        <v>0.69979074765237803</v>
      </c>
      <c r="B15" s="19">
        <v>2.7252342206128401E-2</v>
      </c>
    </row>
    <row r="16" spans="1:2" x14ac:dyDescent="0.3">
      <c r="A16" s="19">
        <v>0.74999994679641802</v>
      </c>
      <c r="B16" s="19">
        <v>4.17196283272981E-2</v>
      </c>
    </row>
    <row r="17" spans="1:8" x14ac:dyDescent="0.3">
      <c r="A17" s="19">
        <v>0.80104595315733196</v>
      </c>
      <c r="B17" s="19">
        <v>5.3327106702066099E-2</v>
      </c>
    </row>
    <row r="18" spans="1:8" x14ac:dyDescent="0.3">
      <c r="A18" s="19">
        <v>0.85125515230137105</v>
      </c>
      <c r="B18" s="19">
        <v>6.4093454015610299E-2</v>
      </c>
    </row>
    <row r="19" spans="1:8" x14ac:dyDescent="0.3">
      <c r="A19" s="19">
        <v>0.90062754422853597</v>
      </c>
      <c r="B19" s="19">
        <v>6.6448599810120704E-2</v>
      </c>
    </row>
    <row r="20" spans="1:8" x14ac:dyDescent="0.3">
      <c r="D20" s="28" t="s">
        <v>12</v>
      </c>
      <c r="E20" s="28"/>
      <c r="F20" s="28"/>
      <c r="G20" s="28"/>
      <c r="H20" s="28"/>
    </row>
    <row r="32" spans="1:8" x14ac:dyDescent="0.3">
      <c r="B32" s="25"/>
    </row>
    <row r="33" spans="2:2" x14ac:dyDescent="0.3">
      <c r="B33" s="25"/>
    </row>
    <row r="34" spans="2:2" x14ac:dyDescent="0.3">
      <c r="B34" s="25"/>
    </row>
    <row r="35" spans="2:2" x14ac:dyDescent="0.3">
      <c r="B35" s="25"/>
    </row>
  </sheetData>
  <mergeCells count="1">
    <mergeCell ref="D20:H20"/>
  </mergeCells>
  <dataValidations count="1">
    <dataValidation type="list" allowBlank="1" showInputMessage="1" showErrorMessage="1" sqref="B7" xr:uid="{A4EBC5D0-72EF-42B6-A9B5-72A20F2F5D09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C7EAE-C24A-4760-A622-67B9514C73F0}">
  <dimension ref="A1:H35"/>
  <sheetViews>
    <sheetView topLeftCell="A13" workbookViewId="0">
      <selection activeCell="F37" sqref="F37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31.726299999999998</v>
      </c>
    </row>
    <row r="3" spans="1:2" x14ac:dyDescent="0.3">
      <c r="A3" s="3" t="s">
        <v>7</v>
      </c>
      <c r="B3" s="5">
        <v>27.2151</v>
      </c>
    </row>
    <row r="4" spans="1:2" x14ac:dyDescent="0.3">
      <c r="A4" s="3" t="s">
        <v>1</v>
      </c>
      <c r="B4" s="5">
        <v>34.716700000000003</v>
      </c>
    </row>
    <row r="5" spans="1:2" ht="15" thickBot="1" x14ac:dyDescent="0.35">
      <c r="A5" s="3" t="s">
        <v>2</v>
      </c>
      <c r="B5" s="6">
        <v>6.3418999999999999</v>
      </c>
    </row>
    <row r="6" spans="1:2" x14ac:dyDescent="0.3">
      <c r="A6" s="2" t="s">
        <v>6</v>
      </c>
      <c r="B6" s="14">
        <f>273.15+50</f>
        <v>323.14999999999998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0.400209231066188</v>
      </c>
      <c r="B9" s="19">
        <v>2.3551490031341201E-3</v>
      </c>
    </row>
    <row r="10" spans="1:2" x14ac:dyDescent="0.3">
      <c r="A10" s="19">
        <v>0.44958155914905501</v>
      </c>
      <c r="B10" s="19">
        <v>1.1775777101906901E-3</v>
      </c>
    </row>
    <row r="11" spans="1:2" x14ac:dyDescent="0.3">
      <c r="A11" s="19">
        <v>0.499790758293094</v>
      </c>
      <c r="B11" s="19">
        <v>1.5140275677812899E-3</v>
      </c>
    </row>
    <row r="12" spans="1:2" x14ac:dyDescent="0.3">
      <c r="A12" s="19">
        <v>0.55251044293205498</v>
      </c>
      <c r="B12" s="19">
        <v>1.8504710081246E-3</v>
      </c>
    </row>
    <row r="13" spans="1:2" x14ac:dyDescent="0.3">
      <c r="A13" s="19">
        <v>0.59937234936429895</v>
      </c>
      <c r="B13" s="19">
        <v>6.7289971518117104E-4</v>
      </c>
    </row>
    <row r="14" spans="1:2" x14ac:dyDescent="0.3">
      <c r="A14" s="19">
        <v>0.65125522678638603</v>
      </c>
      <c r="B14" s="19">
        <v>3.5327138788302402E-3</v>
      </c>
    </row>
    <row r="15" spans="1:2" x14ac:dyDescent="0.3">
      <c r="A15" s="19">
        <v>0.69979074765237803</v>
      </c>
      <c r="B15" s="19">
        <v>1.5308413973769801E-2</v>
      </c>
    </row>
    <row r="16" spans="1:2" x14ac:dyDescent="0.3">
      <c r="A16" s="19">
        <v>0.75083675401329197</v>
      </c>
      <c r="B16" s="19">
        <v>3.02803780899491E-2</v>
      </c>
    </row>
    <row r="17" spans="1:8" x14ac:dyDescent="0.3">
      <c r="A17" s="19">
        <v>0.80188282421850399</v>
      </c>
      <c r="B17" s="19">
        <v>3.6841127852600103E-2</v>
      </c>
    </row>
    <row r="18" spans="1:8" x14ac:dyDescent="0.3">
      <c r="A18" s="19">
        <v>0.85041834508449698</v>
      </c>
      <c r="B18" s="19">
        <v>4.6261685361652802E-2</v>
      </c>
    </row>
    <row r="19" spans="1:8" x14ac:dyDescent="0.3">
      <c r="A19" s="19">
        <v>0.90062754422853597</v>
      </c>
      <c r="B19" s="19">
        <v>5.3999999999999999E-2</v>
      </c>
    </row>
    <row r="20" spans="1:8" x14ac:dyDescent="0.3">
      <c r="D20" s="28" t="s">
        <v>12</v>
      </c>
      <c r="E20" s="28"/>
      <c r="F20" s="28"/>
      <c r="G20" s="28"/>
      <c r="H20" s="28"/>
    </row>
    <row r="33" spans="2:2" x14ac:dyDescent="0.3">
      <c r="B33" s="25"/>
    </row>
    <row r="34" spans="2:2" x14ac:dyDescent="0.3">
      <c r="B34" s="25"/>
    </row>
    <row r="35" spans="2:2" x14ac:dyDescent="0.3">
      <c r="B35" s="25"/>
    </row>
  </sheetData>
  <mergeCells count="1">
    <mergeCell ref="D20:H20"/>
  </mergeCells>
  <dataValidations count="1">
    <dataValidation type="list" allowBlank="1" showInputMessage="1" showErrorMessage="1" sqref="B7" xr:uid="{9FDAB7E3-CBF3-4FFF-8B5C-EBB5A620F0D9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5BA82-F4F0-4154-A8A9-7E76B0212EB5}">
  <dimension ref="A1:H35"/>
  <sheetViews>
    <sheetView workbookViewId="0">
      <selection activeCell="M30" sqref="M30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37</v>
      </c>
    </row>
    <row r="3" spans="1:2" x14ac:dyDescent="0.3">
      <c r="A3" s="3" t="s">
        <v>7</v>
      </c>
      <c r="B3" s="5">
        <v>25</v>
      </c>
    </row>
    <row r="4" spans="1:2" x14ac:dyDescent="0.3">
      <c r="A4" s="3" t="s">
        <v>1</v>
      </c>
      <c r="B4" s="5">
        <v>32</v>
      </c>
    </row>
    <row r="5" spans="1:2" ht="15" thickBot="1" x14ac:dyDescent="0.35">
      <c r="A5" s="3" t="s">
        <v>2</v>
      </c>
      <c r="B5" s="6">
        <v>6.29</v>
      </c>
    </row>
    <row r="6" spans="1:2" x14ac:dyDescent="0.3">
      <c r="A6" s="2" t="s">
        <v>6</v>
      </c>
      <c r="B6" s="14">
        <f>273.15+5</f>
        <v>278.14999999999998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0.39957983839790401</v>
      </c>
      <c r="B9" s="19">
        <v>4.7368280945150696E-3</v>
      </c>
    </row>
    <row r="10" spans="1:2" x14ac:dyDescent="0.3">
      <c r="A10" s="19">
        <v>0.44999999999999901</v>
      </c>
      <c r="B10" s="19">
        <v>4.2293234750652902E-3</v>
      </c>
    </row>
    <row r="11" spans="1:2" x14ac:dyDescent="0.3">
      <c r="A11" s="19">
        <v>0.50042016160209501</v>
      </c>
      <c r="B11" s="19">
        <v>1.69172939002613E-3</v>
      </c>
    </row>
    <row r="12" spans="1:2" x14ac:dyDescent="0.3">
      <c r="A12" s="19">
        <v>0.54999999999999905</v>
      </c>
      <c r="B12" s="19">
        <v>4.3984938326937202E-3</v>
      </c>
    </row>
    <row r="13" spans="1:2" x14ac:dyDescent="0.3">
      <c r="A13" s="19">
        <v>0.60042016160209499</v>
      </c>
      <c r="B13" s="19">
        <v>1.64097763739404E-2</v>
      </c>
    </row>
    <row r="14" spans="1:2" x14ac:dyDescent="0.3">
      <c r="A14" s="19">
        <v>0.64999999999999902</v>
      </c>
      <c r="B14" s="19">
        <v>3.1296993715483098E-2</v>
      </c>
    </row>
    <row r="15" spans="1:2" x14ac:dyDescent="0.3">
      <c r="A15" s="19">
        <v>0.70042016160209497</v>
      </c>
      <c r="B15" s="19">
        <v>4.0601505360626802E-2</v>
      </c>
    </row>
    <row r="16" spans="1:2" x14ac:dyDescent="0.3">
      <c r="A16" s="19">
        <v>0.75084032320419103</v>
      </c>
      <c r="B16" s="19">
        <v>5.1259399227104298E-2</v>
      </c>
    </row>
    <row r="17" spans="1:8" x14ac:dyDescent="0.3">
      <c r="A17" s="19">
        <v>0.80042009748954401</v>
      </c>
      <c r="B17" s="19">
        <v>6.3439852125979398E-2</v>
      </c>
    </row>
    <row r="18" spans="1:8" x14ac:dyDescent="0.3">
      <c r="A18" s="19">
        <v>0.84999993588744904</v>
      </c>
      <c r="B18" s="19">
        <v>7.2575183733341403E-2</v>
      </c>
    </row>
    <row r="19" spans="1:8" x14ac:dyDescent="0.3">
      <c r="A19" s="19">
        <v>0.90042009748954399</v>
      </c>
      <c r="B19" s="19">
        <v>7.8327071080880994E-2</v>
      </c>
    </row>
    <row r="20" spans="1:8" x14ac:dyDescent="0.3">
      <c r="D20" s="28" t="s">
        <v>12</v>
      </c>
      <c r="E20" s="28"/>
      <c r="F20" s="28"/>
      <c r="G20" s="28"/>
      <c r="H20" s="28"/>
    </row>
    <row r="35" spans="2:2" x14ac:dyDescent="0.3">
      <c r="B35" s="25"/>
    </row>
  </sheetData>
  <mergeCells count="1">
    <mergeCell ref="D20:H20"/>
  </mergeCells>
  <dataValidations count="1">
    <dataValidation type="list" allowBlank="1" showInputMessage="1" showErrorMessage="1" sqref="B7" xr:uid="{6A64A87A-81F8-4E49-9696-22F54FDE89F1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FCAE7-C90F-423F-9179-F612152B062D}">
  <dimension ref="A1:H35"/>
  <sheetViews>
    <sheetView topLeftCell="A21" workbookViewId="0">
      <selection activeCell="A21" sqref="A21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37</v>
      </c>
    </row>
    <row r="3" spans="1:2" x14ac:dyDescent="0.3">
      <c r="A3" s="3" t="s">
        <v>7</v>
      </c>
      <c r="B3" s="5">
        <v>25</v>
      </c>
    </row>
    <row r="4" spans="1:2" x14ac:dyDescent="0.3">
      <c r="A4" s="3" t="s">
        <v>1</v>
      </c>
      <c r="B4" s="5">
        <v>32</v>
      </c>
    </row>
    <row r="5" spans="1:2" ht="15" thickBot="1" x14ac:dyDescent="0.35">
      <c r="A5" s="3" t="s">
        <v>2</v>
      </c>
      <c r="B5" s="6">
        <v>6.29</v>
      </c>
    </row>
    <row r="6" spans="1:2" x14ac:dyDescent="0.3">
      <c r="A6" s="2" t="s">
        <v>6</v>
      </c>
      <c r="B6" s="14">
        <f>273.15+25</f>
        <v>298.14999999999998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0.40042016160209498</v>
      </c>
      <c r="B9" s="19">
        <v>2.3684172739752798E-3</v>
      </c>
    </row>
    <row r="10" spans="1:2" x14ac:dyDescent="0.3">
      <c r="A10" s="19">
        <v>0.45084032320419098</v>
      </c>
      <c r="B10" s="19">
        <v>2.5375940850391899E-3</v>
      </c>
    </row>
    <row r="11" spans="1:2" x14ac:dyDescent="0.3">
      <c r="A11" s="19">
        <v>0.49873951519371201</v>
      </c>
      <c r="B11" s="19">
        <v>1.35336931446285E-3</v>
      </c>
    </row>
    <row r="12" spans="1:2" x14ac:dyDescent="0.3">
      <c r="A12" s="19">
        <v>0.54999999999999905</v>
      </c>
      <c r="B12" s="19">
        <v>2.8759412537315001E-3</v>
      </c>
    </row>
    <row r="13" spans="1:2" x14ac:dyDescent="0.3">
      <c r="A13" s="19">
        <v>0.59957983839790396</v>
      </c>
      <c r="B13" s="19">
        <v>8.9661515695803693E-3</v>
      </c>
    </row>
    <row r="14" spans="1:2" x14ac:dyDescent="0.3">
      <c r="A14" s="19">
        <v>0.65084032320419105</v>
      </c>
      <c r="B14" s="19">
        <v>2.0300752680313401E-2</v>
      </c>
    </row>
    <row r="15" spans="1:2" x14ac:dyDescent="0.3">
      <c r="A15" s="19">
        <v>0.69957977428535301</v>
      </c>
      <c r="B15" s="19">
        <v>3.29887231055093E-2</v>
      </c>
    </row>
    <row r="16" spans="1:2" x14ac:dyDescent="0.3">
      <c r="A16" s="19">
        <v>0.75084032320419103</v>
      </c>
      <c r="B16" s="19">
        <v>4.5169176004384401E-2</v>
      </c>
    </row>
    <row r="17" spans="1:8" x14ac:dyDescent="0.3">
      <c r="A17" s="19">
        <v>0.80042009748954401</v>
      </c>
      <c r="B17" s="19">
        <v>5.3796993312143403E-2</v>
      </c>
    </row>
    <row r="18" spans="1:8" x14ac:dyDescent="0.3">
      <c r="A18" s="19">
        <v>0.84999993588744904</v>
      </c>
      <c r="B18" s="19">
        <v>6.1748122735953301E-2</v>
      </c>
    </row>
    <row r="19" spans="1:8" x14ac:dyDescent="0.3">
      <c r="A19" s="19">
        <v>0.90042009748954399</v>
      </c>
      <c r="B19" s="19">
        <v>6.5469925457980097E-2</v>
      </c>
    </row>
    <row r="20" spans="1:8" x14ac:dyDescent="0.3">
      <c r="D20" s="28" t="s">
        <v>12</v>
      </c>
      <c r="E20" s="28"/>
      <c r="F20" s="28"/>
      <c r="G20" s="28"/>
      <c r="H20" s="28"/>
    </row>
    <row r="33" spans="2:2" x14ac:dyDescent="0.3">
      <c r="B33" s="25"/>
    </row>
    <row r="34" spans="2:2" x14ac:dyDescent="0.3">
      <c r="B34" s="25"/>
    </row>
    <row r="35" spans="2:2" x14ac:dyDescent="0.3">
      <c r="B35" s="25"/>
    </row>
  </sheetData>
  <mergeCells count="1">
    <mergeCell ref="D20:H20"/>
  </mergeCells>
  <dataValidations count="1">
    <dataValidation type="list" allowBlank="1" showInputMessage="1" showErrorMessage="1" sqref="B7" xr:uid="{534464F6-E810-446F-B613-082EDBB56AF0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59301-59AD-457A-9C30-ABE010111AF9}">
  <dimension ref="A1:H35"/>
  <sheetViews>
    <sheetView topLeftCell="A18" workbookViewId="0">
      <selection activeCell="B2" sqref="B2:B5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37</v>
      </c>
    </row>
    <row r="3" spans="1:2" x14ac:dyDescent="0.3">
      <c r="A3" s="3" t="s">
        <v>7</v>
      </c>
      <c r="B3" s="5">
        <v>25</v>
      </c>
    </row>
    <row r="4" spans="1:2" x14ac:dyDescent="0.3">
      <c r="A4" s="3" t="s">
        <v>1</v>
      </c>
      <c r="B4" s="5">
        <v>32</v>
      </c>
    </row>
    <row r="5" spans="1:2" ht="15" thickBot="1" x14ac:dyDescent="0.35">
      <c r="A5" s="3" t="s">
        <v>2</v>
      </c>
      <c r="B5" s="6">
        <v>6.29</v>
      </c>
    </row>
    <row r="6" spans="1:2" x14ac:dyDescent="0.3">
      <c r="A6" s="2" t="s">
        <v>6</v>
      </c>
      <c r="B6" s="14">
        <f>273.15+50</f>
        <v>323.14999999999998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0.40042016160209498</v>
      </c>
      <c r="B9" s="19">
        <v>5.4135353387706701E-3</v>
      </c>
    </row>
    <row r="10" spans="1:2" x14ac:dyDescent="0.3">
      <c r="A10" s="19">
        <v>0.44999999999999901</v>
      </c>
      <c r="B10" s="19">
        <v>4.3984938326937202E-3</v>
      </c>
    </row>
    <row r="11" spans="1:2" x14ac:dyDescent="0.3">
      <c r="A11" s="19">
        <v>0.50042016160209501</v>
      </c>
      <c r="B11" s="19">
        <v>4.7368280945150696E-3</v>
      </c>
    </row>
    <row r="12" spans="1:2" x14ac:dyDescent="0.3">
      <c r="A12" s="19">
        <v>0.54999999999999905</v>
      </c>
      <c r="B12" s="19">
        <v>1.8608997476545399E-3</v>
      </c>
    </row>
    <row r="13" spans="1:2" x14ac:dyDescent="0.3">
      <c r="A13" s="19">
        <v>0.60042016160209499</v>
      </c>
      <c r="B13" s="19">
        <v>3.0450987044889498E-3</v>
      </c>
    </row>
    <row r="14" spans="1:2" x14ac:dyDescent="0.3">
      <c r="A14" s="19">
        <v>0.65084032320419105</v>
      </c>
      <c r="B14" s="19">
        <v>9.8120162645934407E-3</v>
      </c>
    </row>
    <row r="15" spans="1:2" x14ac:dyDescent="0.3">
      <c r="A15" s="19">
        <v>0.70042016160209497</v>
      </c>
      <c r="B15" s="19">
        <v>2.3853381817993999E-2</v>
      </c>
    </row>
    <row r="16" spans="1:2" x14ac:dyDescent="0.3">
      <c r="A16" s="19">
        <v>0.74999993588744895</v>
      </c>
      <c r="B16" s="19">
        <v>3.40037581581508E-2</v>
      </c>
    </row>
    <row r="17" spans="1:8" x14ac:dyDescent="0.3">
      <c r="A17" s="19">
        <v>0.80042009748954401</v>
      </c>
      <c r="B17" s="19">
        <v>4.5169176004384401E-2</v>
      </c>
    </row>
    <row r="18" spans="1:8" x14ac:dyDescent="0.3">
      <c r="A18" s="19">
        <v>0.85084025909163996</v>
      </c>
      <c r="B18" s="19">
        <v>4.5169176004384401E-2</v>
      </c>
    </row>
    <row r="19" spans="1:8" x14ac:dyDescent="0.3">
      <c r="A19" s="19">
        <v>0.90042009748954399</v>
      </c>
      <c r="B19" s="19">
        <v>5.5827069870861903E-2</v>
      </c>
    </row>
    <row r="20" spans="1:8" x14ac:dyDescent="0.3">
      <c r="D20" s="28" t="s">
        <v>12</v>
      </c>
      <c r="E20" s="28"/>
      <c r="F20" s="28"/>
      <c r="G20" s="28"/>
      <c r="H20" s="28"/>
    </row>
    <row r="33" spans="2:2" x14ac:dyDescent="0.3">
      <c r="B33" s="25"/>
    </row>
    <row r="34" spans="2:2" x14ac:dyDescent="0.3">
      <c r="B34" s="25"/>
    </row>
    <row r="35" spans="2:2" x14ac:dyDescent="0.3">
      <c r="B35" s="25"/>
    </row>
  </sheetData>
  <mergeCells count="1">
    <mergeCell ref="D20:H20"/>
  </mergeCells>
  <dataValidations count="1">
    <dataValidation type="list" allowBlank="1" showInputMessage="1" showErrorMessage="1" sqref="B7" xr:uid="{B2B55D59-213F-4EA9-A284-0DB001AA1C8D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AF0A3-1C7C-41EF-A94F-B0D60B70FFD6}">
  <dimension ref="A1:H35"/>
  <sheetViews>
    <sheetView topLeftCell="A17" workbookViewId="0">
      <selection activeCell="B20" sqref="B20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38</v>
      </c>
    </row>
    <row r="3" spans="1:2" x14ac:dyDescent="0.3">
      <c r="A3" s="3" t="s">
        <v>7</v>
      </c>
      <c r="B3" s="5">
        <v>24</v>
      </c>
    </row>
    <row r="4" spans="1:2" x14ac:dyDescent="0.3">
      <c r="A4" s="3" t="s">
        <v>1</v>
      </c>
      <c r="B4" s="5">
        <v>24</v>
      </c>
    </row>
    <row r="5" spans="1:2" ht="15" thickBot="1" x14ac:dyDescent="0.35">
      <c r="A5" s="3" t="s">
        <v>2</v>
      </c>
      <c r="B5" s="6">
        <v>6.58</v>
      </c>
    </row>
    <row r="6" spans="1:2" x14ac:dyDescent="0.3">
      <c r="A6" s="2" t="s">
        <v>6</v>
      </c>
      <c r="B6" s="14">
        <f>273.15+5</f>
        <v>278.14999999999998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0.69972823133484496</v>
      </c>
      <c r="B9" s="19">
        <v>1.1475296952286199E-3</v>
      </c>
    </row>
    <row r="10" spans="1:2" x14ac:dyDescent="0.3">
      <c r="A10" s="19">
        <v>0.74945654041487597</v>
      </c>
      <c r="B10" s="19">
        <v>9.8361028220004501E-4</v>
      </c>
    </row>
    <row r="11" spans="1:2" x14ac:dyDescent="0.3">
      <c r="A11" s="19">
        <v>0.79918478729875797</v>
      </c>
      <c r="B11" s="19">
        <v>1.1475296952286199E-3</v>
      </c>
    </row>
    <row r="12" spans="1:2" x14ac:dyDescent="0.3">
      <c r="A12" s="19">
        <v>0.85054344403608595</v>
      </c>
      <c r="B12" s="19">
        <v>1.9836068774612199E-2</v>
      </c>
    </row>
    <row r="13" spans="1:2" x14ac:dyDescent="0.3">
      <c r="A13" s="19">
        <v>0.87010867325817998</v>
      </c>
      <c r="B13" s="19">
        <v>2.9016393886867799E-2</v>
      </c>
    </row>
    <row r="14" spans="1:2" x14ac:dyDescent="0.3">
      <c r="A14" s="19">
        <v>0.89945654818939502</v>
      </c>
      <c r="B14" s="19">
        <v>4.7213112191146697E-2</v>
      </c>
    </row>
    <row r="15" spans="1:2" x14ac:dyDescent="0.3">
      <c r="A15" s="19"/>
      <c r="B15" s="19"/>
    </row>
    <row r="16" spans="1:2" x14ac:dyDescent="0.3">
      <c r="A16" s="19"/>
      <c r="B16" s="19"/>
    </row>
    <row r="17" spans="1:8" x14ac:dyDescent="0.3">
      <c r="A17" s="19"/>
      <c r="B17" s="19"/>
    </row>
    <row r="18" spans="1:8" x14ac:dyDescent="0.3">
      <c r="A18" s="19"/>
      <c r="B18" s="19"/>
    </row>
    <row r="19" spans="1:8" x14ac:dyDescent="0.3">
      <c r="A19" s="19"/>
      <c r="B19" s="19"/>
    </row>
    <row r="20" spans="1:8" x14ac:dyDescent="0.3">
      <c r="D20" s="28" t="s">
        <v>12</v>
      </c>
      <c r="E20" s="28"/>
      <c r="F20" s="28"/>
      <c r="G20" s="28"/>
      <c r="H20" s="28"/>
    </row>
    <row r="35" spans="2:2" x14ac:dyDescent="0.3">
      <c r="B35" s="25"/>
    </row>
  </sheetData>
  <mergeCells count="1">
    <mergeCell ref="D20:H20"/>
  </mergeCells>
  <dataValidations count="1">
    <dataValidation type="list" allowBlank="1" showInputMessage="1" showErrorMessage="1" sqref="B7" xr:uid="{90D1CEA8-6C6A-47A3-8775-E4F2DA142BC5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A2E9D-0D4F-44E1-A9D2-2E0AF9868D77}">
  <dimension ref="A1:H20"/>
  <sheetViews>
    <sheetView workbookViewId="0">
      <selection activeCell="B14" sqref="B14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38</v>
      </c>
    </row>
    <row r="3" spans="1:2" x14ac:dyDescent="0.3">
      <c r="A3" s="3" t="s">
        <v>7</v>
      </c>
      <c r="B3" s="5">
        <v>24</v>
      </c>
    </row>
    <row r="4" spans="1:2" x14ac:dyDescent="0.3">
      <c r="A4" s="3" t="s">
        <v>1</v>
      </c>
      <c r="B4" s="5">
        <v>24</v>
      </c>
    </row>
    <row r="5" spans="1:2" ht="15" thickBot="1" x14ac:dyDescent="0.35">
      <c r="A5" s="3" t="s">
        <v>2</v>
      </c>
      <c r="B5" s="6">
        <v>6.58</v>
      </c>
    </row>
    <row r="6" spans="1:2" x14ac:dyDescent="0.3">
      <c r="A6" s="2" t="s">
        <v>6</v>
      </c>
      <c r="B6" s="14">
        <f>273.15+25</f>
        <v>298.14999999999998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0.69891302640812203</v>
      </c>
      <c r="B9" s="19">
        <v>2.45901632509723E-3</v>
      </c>
    </row>
    <row r="10" spans="1:2" x14ac:dyDescent="0.3">
      <c r="A10" s="19">
        <v>0.74945654041487597</v>
      </c>
      <c r="B10" s="19">
        <v>1.4754122964991E-3</v>
      </c>
    </row>
    <row r="11" spans="1:2" x14ac:dyDescent="0.3">
      <c r="A11" s="19">
        <v>0.79918478729875797</v>
      </c>
      <c r="B11" s="19">
        <v>1.4754122964991E-3</v>
      </c>
    </row>
    <row r="12" spans="1:2" x14ac:dyDescent="0.3">
      <c r="A12" s="19">
        <v>0.84972823910936301</v>
      </c>
      <c r="B12" s="19">
        <v>9.8360653003889704E-3</v>
      </c>
    </row>
    <row r="13" spans="1:2" x14ac:dyDescent="0.3">
      <c r="A13" s="19">
        <v>0.87010867325817998</v>
      </c>
      <c r="B13" s="19">
        <v>2.21311469258752E-2</v>
      </c>
    </row>
    <row r="14" spans="1:2" x14ac:dyDescent="0.3">
      <c r="A14" s="19">
        <v>0.90108695804284</v>
      </c>
      <c r="B14" s="19">
        <v>3.8852459187256799E-2</v>
      </c>
    </row>
    <row r="15" spans="1:2" x14ac:dyDescent="0.3">
      <c r="A15" s="19"/>
      <c r="B15" s="19"/>
    </row>
    <row r="16" spans="1:2" x14ac:dyDescent="0.3">
      <c r="A16" s="19"/>
      <c r="B16" s="19"/>
    </row>
    <row r="17" spans="1:8" x14ac:dyDescent="0.3">
      <c r="A17" s="19"/>
      <c r="B17" s="19"/>
    </row>
    <row r="18" spans="1:8" x14ac:dyDescent="0.3">
      <c r="A18" s="19"/>
      <c r="B18" s="19"/>
    </row>
    <row r="19" spans="1:8" x14ac:dyDescent="0.3">
      <c r="A19" s="19"/>
      <c r="B19" s="19"/>
    </row>
    <row r="20" spans="1:8" x14ac:dyDescent="0.3">
      <c r="D20" s="28" t="s">
        <v>12</v>
      </c>
      <c r="E20" s="28"/>
      <c r="F20" s="28"/>
      <c r="G20" s="28"/>
      <c r="H20" s="28"/>
    </row>
  </sheetData>
  <mergeCells count="1">
    <mergeCell ref="D20:H20"/>
  </mergeCells>
  <dataValidations count="1">
    <dataValidation type="list" allowBlank="1" showInputMessage="1" showErrorMessage="1" sqref="B7" xr:uid="{F5AD9CFD-55C0-493F-AA7C-898DD943EAF7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EBD6-13AB-410A-9E10-40E13FE53CB8}">
  <dimension ref="A1:H35"/>
  <sheetViews>
    <sheetView workbookViewId="0">
      <selection activeCell="D20" sqref="D20:H20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38</v>
      </c>
    </row>
    <row r="3" spans="1:2" x14ac:dyDescent="0.3">
      <c r="A3" s="3" t="s">
        <v>7</v>
      </c>
      <c r="B3" s="5">
        <v>24</v>
      </c>
    </row>
    <row r="4" spans="1:2" x14ac:dyDescent="0.3">
      <c r="A4" s="3" t="s">
        <v>1</v>
      </c>
      <c r="B4" s="5">
        <v>24</v>
      </c>
    </row>
    <row r="5" spans="1:2" ht="15" thickBot="1" x14ac:dyDescent="0.35">
      <c r="A5" s="3" t="s">
        <v>2</v>
      </c>
      <c r="B5" s="6">
        <v>6.58</v>
      </c>
    </row>
    <row r="6" spans="1:2" x14ac:dyDescent="0.3">
      <c r="A6" s="2" t="s">
        <v>6</v>
      </c>
      <c r="B6" s="14">
        <f>273.15+50</f>
        <v>323.14999999999998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0.70461958528748003</v>
      </c>
      <c r="B9" s="19">
        <v>3.1147565132306002E-3</v>
      </c>
    </row>
    <row r="10" spans="1:2" x14ac:dyDescent="0.3">
      <c r="A10" s="19">
        <v>0.74864127329200403</v>
      </c>
      <c r="B10" s="19">
        <v>4.7541007299621097E-3</v>
      </c>
    </row>
    <row r="11" spans="1:2" x14ac:dyDescent="0.3">
      <c r="A11" s="19">
        <v>0.80407607905524403</v>
      </c>
      <c r="B11" s="19">
        <v>1.1475296952286199E-3</v>
      </c>
    </row>
    <row r="12" spans="1:2" x14ac:dyDescent="0.3">
      <c r="A12" s="19">
        <v>0.84972823910936301</v>
      </c>
      <c r="B12" s="19">
        <v>3.44262660729728E-3</v>
      </c>
    </row>
    <row r="13" spans="1:2" x14ac:dyDescent="0.3">
      <c r="A13" s="19">
        <v>0.87010867325817998</v>
      </c>
      <c r="B13" s="19">
        <v>1.22950816254862E-2</v>
      </c>
    </row>
    <row r="14" spans="1:2" x14ac:dyDescent="0.3">
      <c r="A14" s="19">
        <v>0.90027169091996795</v>
      </c>
      <c r="B14" s="19">
        <v>1.8032786384046401E-2</v>
      </c>
    </row>
    <row r="20" spans="4:8" x14ac:dyDescent="0.3">
      <c r="D20" s="28" t="s">
        <v>12</v>
      </c>
      <c r="E20" s="28"/>
      <c r="F20" s="28"/>
      <c r="G20" s="28"/>
      <c r="H20" s="28"/>
    </row>
    <row r="35" spans="2:2" x14ac:dyDescent="0.3">
      <c r="B35" s="25"/>
    </row>
  </sheetData>
  <mergeCells count="1">
    <mergeCell ref="D20:H20"/>
  </mergeCells>
  <dataValidations count="1">
    <dataValidation type="list" allowBlank="1" showInputMessage="1" showErrorMessage="1" sqref="B7" xr:uid="{09969C89-4EE5-4E9B-83D4-AC82878AF421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4E3C-228A-404B-AAAA-84368A7243B9}">
  <dimension ref="A1:H52"/>
  <sheetViews>
    <sheetView showGridLines="0" tabSelected="1" workbookViewId="0">
      <selection activeCell="B9" sqref="B9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23.1</v>
      </c>
    </row>
    <row r="3" spans="1:2" x14ac:dyDescent="0.3">
      <c r="A3" s="3" t="s">
        <v>7</v>
      </c>
      <c r="B3" s="5">
        <v>41.7</v>
      </c>
    </row>
    <row r="4" spans="1:2" x14ac:dyDescent="0.3">
      <c r="A4" s="3" t="s">
        <v>1</v>
      </c>
      <c r="B4" s="5">
        <v>19.5</v>
      </c>
    </row>
    <row r="5" spans="1:2" ht="15" thickBot="1" x14ac:dyDescent="0.35">
      <c r="A5" s="3" t="s">
        <v>2</v>
      </c>
      <c r="B5" s="6">
        <v>15.3</v>
      </c>
    </row>
    <row r="6" spans="1:2" x14ac:dyDescent="0.3">
      <c r="A6" s="2" t="s">
        <v>6</v>
      </c>
      <c r="B6" s="14">
        <f>23+273.15</f>
        <v>296.14999999999998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27">
        <v>0.50725668750098696</v>
      </c>
      <c r="B9" s="27">
        <v>3.2786886612808999E-3</v>
      </c>
    </row>
    <row r="10" spans="1:2" x14ac:dyDescent="0.3">
      <c r="A10" s="27">
        <v>0.53805307870333796</v>
      </c>
      <c r="B10" s="27">
        <v>5.2458968551676198E-3</v>
      </c>
    </row>
    <row r="11" spans="1:2" x14ac:dyDescent="0.3">
      <c r="A11" s="27">
        <v>0.57840708796312601</v>
      </c>
      <c r="B11" s="27">
        <v>2.2622919244106199E-2</v>
      </c>
    </row>
    <row r="12" spans="1:2" x14ac:dyDescent="0.3">
      <c r="A12" s="27">
        <v>0.67185843518573596</v>
      </c>
      <c r="B12" s="27">
        <v>6.7868845282751306E-2</v>
      </c>
    </row>
    <row r="13" spans="1:2" x14ac:dyDescent="0.3">
      <c r="A13" s="27">
        <v>0.70371683796342999</v>
      </c>
      <c r="B13" s="27">
        <v>8.0655736064628794E-2</v>
      </c>
    </row>
    <row r="14" spans="1:2" x14ac:dyDescent="0.3">
      <c r="A14" s="27">
        <v>0.73345129861054503</v>
      </c>
      <c r="B14" s="27">
        <v>9.4426230943449693E-2</v>
      </c>
    </row>
    <row r="15" spans="1:2" x14ac:dyDescent="0.3">
      <c r="A15" s="27">
        <v>0.77380530787033297</v>
      </c>
      <c r="B15" s="27">
        <v>0.10163933599250401</v>
      </c>
    </row>
    <row r="16" spans="1:2" x14ac:dyDescent="0.3">
      <c r="A16" s="27">
        <v>0.87256630786911804</v>
      </c>
      <c r="B16" s="27">
        <v>0.12327868866128</v>
      </c>
    </row>
    <row r="17" spans="1:8" x14ac:dyDescent="0.3">
      <c r="A17" s="27">
        <v>0.93203539120356504</v>
      </c>
      <c r="B17" s="27">
        <v>0.123606558778129</v>
      </c>
      <c r="D17" s="28" t="s">
        <v>12</v>
      </c>
      <c r="E17" s="28"/>
      <c r="F17" s="28"/>
      <c r="G17" s="28"/>
      <c r="H17" s="28"/>
    </row>
    <row r="18" spans="1:8" x14ac:dyDescent="0.3">
      <c r="A18" s="27">
        <v>0.95433625694392898</v>
      </c>
      <c r="B18" s="27">
        <v>0.129508183359789</v>
      </c>
    </row>
    <row r="23" spans="1:8" x14ac:dyDescent="0.3">
      <c r="A23" s="16"/>
      <c r="B23" s="17"/>
    </row>
    <row r="24" spans="1:8" x14ac:dyDescent="0.3">
      <c r="A24" s="16"/>
      <c r="B24" s="17"/>
    </row>
    <row r="25" spans="1:8" x14ac:dyDescent="0.3">
      <c r="A25" s="16"/>
      <c r="B25" s="17"/>
    </row>
    <row r="26" spans="1:8" x14ac:dyDescent="0.3">
      <c r="A26" s="16"/>
      <c r="B26" s="17"/>
    </row>
    <row r="27" spans="1:8" x14ac:dyDescent="0.3">
      <c r="A27" s="16"/>
      <c r="B27" s="17"/>
    </row>
    <row r="28" spans="1:8" x14ac:dyDescent="0.3">
      <c r="A28" s="16"/>
      <c r="B28" s="17"/>
    </row>
    <row r="29" spans="1:8" x14ac:dyDescent="0.3">
      <c r="A29" s="16"/>
      <c r="B29" s="17"/>
    </row>
    <row r="30" spans="1:8" x14ac:dyDescent="0.3">
      <c r="A30" s="16"/>
      <c r="B30" s="17"/>
    </row>
    <row r="31" spans="1:8" x14ac:dyDescent="0.3">
      <c r="A31" s="16"/>
      <c r="B31" s="17"/>
    </row>
    <row r="32" spans="1:8" x14ac:dyDescent="0.3">
      <c r="A32" s="16"/>
      <c r="B32" s="17"/>
    </row>
    <row r="33" spans="1:2" x14ac:dyDescent="0.3">
      <c r="A33" s="16"/>
      <c r="B33" s="17"/>
    </row>
    <row r="34" spans="1:2" x14ac:dyDescent="0.3">
      <c r="A34" s="16"/>
      <c r="B34" s="17"/>
    </row>
    <row r="35" spans="1:2" x14ac:dyDescent="0.3">
      <c r="A35" s="16"/>
      <c r="B35" s="17"/>
    </row>
    <row r="36" spans="1:2" x14ac:dyDescent="0.3">
      <c r="A36" s="16"/>
      <c r="B36" s="17"/>
    </row>
    <row r="37" spans="1:2" x14ac:dyDescent="0.3">
      <c r="A37" s="16"/>
      <c r="B37" s="17"/>
    </row>
    <row r="38" spans="1:2" x14ac:dyDescent="0.3">
      <c r="A38" s="16"/>
      <c r="B38" s="17"/>
    </row>
    <row r="39" spans="1:2" x14ac:dyDescent="0.3">
      <c r="A39" s="16"/>
      <c r="B39" s="17"/>
    </row>
    <row r="40" spans="1:2" x14ac:dyDescent="0.3">
      <c r="A40" s="16"/>
      <c r="B40" s="17"/>
    </row>
    <row r="41" spans="1:2" x14ac:dyDescent="0.3">
      <c r="A41" s="16"/>
      <c r="B41" s="17"/>
    </row>
    <row r="42" spans="1:2" x14ac:dyDescent="0.3">
      <c r="A42" s="16"/>
      <c r="B42" s="17"/>
    </row>
    <row r="43" spans="1:2" x14ac:dyDescent="0.3">
      <c r="A43" s="16"/>
      <c r="B43" s="17"/>
    </row>
    <row r="44" spans="1:2" x14ac:dyDescent="0.3">
      <c r="A44" s="16"/>
      <c r="B44" s="17"/>
    </row>
    <row r="45" spans="1:2" x14ac:dyDescent="0.3">
      <c r="A45" s="16"/>
      <c r="B45" s="17"/>
    </row>
    <row r="46" spans="1:2" x14ac:dyDescent="0.3">
      <c r="A46" s="16"/>
      <c r="B46" s="17"/>
    </row>
    <row r="47" spans="1:2" x14ac:dyDescent="0.3">
      <c r="A47" s="16"/>
      <c r="B47" s="17"/>
    </row>
    <row r="48" spans="1:2" x14ac:dyDescent="0.3">
      <c r="A48" s="16"/>
      <c r="B48" s="17"/>
    </row>
    <row r="49" spans="1:2" x14ac:dyDescent="0.3">
      <c r="A49" s="16"/>
      <c r="B49" s="17"/>
    </row>
    <row r="50" spans="1:2" x14ac:dyDescent="0.3">
      <c r="A50" s="16"/>
      <c r="B50" s="17"/>
    </row>
    <row r="51" spans="1:2" x14ac:dyDescent="0.3">
      <c r="A51" s="16"/>
      <c r="B51" s="17"/>
    </row>
    <row r="52" spans="1:2" x14ac:dyDescent="0.3">
      <c r="A52" s="16"/>
      <c r="B52" s="17"/>
    </row>
  </sheetData>
  <mergeCells count="1">
    <mergeCell ref="D17:H17"/>
  </mergeCells>
  <dataValidations count="1">
    <dataValidation type="list" allowBlank="1" showInputMessage="1" showErrorMessage="1" sqref="B7" xr:uid="{2A74D785-ECF9-41EC-83E7-D06BFD039F5C}">
      <formula1>"n-heptano, n-pentano"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C7ABB-BD74-4BD8-89A4-BE9C8A53E418}">
  <dimension ref="A1:H60"/>
  <sheetViews>
    <sheetView showGridLines="0" workbookViewId="0">
      <selection activeCell="A14" sqref="A14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23.1</v>
      </c>
    </row>
    <row r="3" spans="1:2" x14ac:dyDescent="0.3">
      <c r="A3" s="3" t="s">
        <v>7</v>
      </c>
      <c r="B3" s="5">
        <v>41.7</v>
      </c>
    </row>
    <row r="4" spans="1:2" x14ac:dyDescent="0.3">
      <c r="A4" s="3" t="s">
        <v>1</v>
      </c>
      <c r="B4" s="5">
        <v>19.5</v>
      </c>
    </row>
    <row r="5" spans="1:2" ht="15" thickBot="1" x14ac:dyDescent="0.35">
      <c r="A5" s="3" t="s">
        <v>2</v>
      </c>
      <c r="B5" s="6">
        <v>15.3</v>
      </c>
    </row>
    <row r="6" spans="1:2" x14ac:dyDescent="0.3">
      <c r="A6" s="2" t="s">
        <v>6</v>
      </c>
      <c r="B6" s="14">
        <v>296.14999999999998</v>
      </c>
    </row>
    <row r="7" spans="1:2" x14ac:dyDescent="0.3">
      <c r="A7" s="7" t="s">
        <v>3</v>
      </c>
      <c r="B7" s="15" t="s">
        <v>10</v>
      </c>
    </row>
    <row r="8" spans="1:2" x14ac:dyDescent="0.3">
      <c r="A8" s="7" t="s">
        <v>5</v>
      </c>
      <c r="B8" s="18" t="s">
        <v>11</v>
      </c>
    </row>
    <row r="9" spans="1:2" x14ac:dyDescent="0.3">
      <c r="A9" s="27">
        <v>0.44778760416654001</v>
      </c>
      <c r="B9" s="27">
        <v>9.8360534766381204E-3</v>
      </c>
    </row>
    <row r="10" spans="1:2" x14ac:dyDescent="0.3">
      <c r="A10" s="27">
        <v>0.48389381018527999</v>
      </c>
      <c r="B10" s="27">
        <v>3.77049070975259E-2</v>
      </c>
    </row>
    <row r="11" spans="1:2" x14ac:dyDescent="0.3">
      <c r="A11" s="27">
        <v>0.51469028240773895</v>
      </c>
      <c r="B11" s="27">
        <v>7.0819670080786101E-2</v>
      </c>
    </row>
    <row r="12" spans="1:2" x14ac:dyDescent="0.3">
      <c r="A12" s="27">
        <v>0.555044291667527</v>
      </c>
      <c r="B12" s="27">
        <v>9.77049196047306E-2</v>
      </c>
    </row>
    <row r="13" spans="1:2" x14ac:dyDescent="0.3">
      <c r="A13" s="27">
        <v>0.65061950000060698</v>
      </c>
      <c r="B13" s="27">
        <v>0.14196721027841999</v>
      </c>
    </row>
    <row r="14" spans="1:2" x14ac:dyDescent="0.3">
      <c r="A14" s="27">
        <v>0.68460176388877003</v>
      </c>
      <c r="B14" s="27">
        <v>0.15311475047605499</v>
      </c>
    </row>
    <row r="15" spans="1:2" x14ac:dyDescent="0.3">
      <c r="A15" s="27">
        <v>0.71327429398065101</v>
      </c>
      <c r="B15" s="27">
        <v>0.15442623094344901</v>
      </c>
    </row>
    <row r="16" spans="1:2" x14ac:dyDescent="0.3">
      <c r="A16" s="27">
        <v>0.75575216435090897</v>
      </c>
      <c r="B16" s="27">
        <v>0.15999999791546499</v>
      </c>
    </row>
    <row r="17" spans="1:8" x14ac:dyDescent="0.3">
      <c r="A17" s="27">
        <v>0.86088490972131904</v>
      </c>
      <c r="B17" s="27">
        <v>0.15704917937103299</v>
      </c>
      <c r="D17" s="28" t="s">
        <v>12</v>
      </c>
      <c r="E17" s="28"/>
      <c r="F17" s="28"/>
      <c r="G17" s="28"/>
      <c r="H17" s="28"/>
    </row>
    <row r="18" spans="1:8" x14ac:dyDescent="0.3">
      <c r="A18" s="27">
        <v>0.92460171527670498</v>
      </c>
      <c r="B18" s="27">
        <v>0.15999999791546499</v>
      </c>
    </row>
    <row r="19" spans="1:8" x14ac:dyDescent="0.3">
      <c r="A19" s="27">
        <v>0.94796459259241195</v>
      </c>
      <c r="B19" s="27">
        <v>0.154754094806695</v>
      </c>
    </row>
    <row r="20" spans="1:8" x14ac:dyDescent="0.3">
      <c r="A20" s="16"/>
      <c r="B20" s="17"/>
    </row>
    <row r="21" spans="1:8" x14ac:dyDescent="0.3">
      <c r="A21" s="16"/>
      <c r="B21" s="17"/>
    </row>
    <row r="22" spans="1:8" x14ac:dyDescent="0.3">
      <c r="A22" s="16"/>
      <c r="B22" s="17"/>
    </row>
    <row r="23" spans="1:8" x14ac:dyDescent="0.3">
      <c r="A23" s="16"/>
      <c r="B23" s="17"/>
    </row>
    <row r="24" spans="1:8" x14ac:dyDescent="0.3">
      <c r="A24" s="16"/>
      <c r="B24" s="17"/>
    </row>
    <row r="25" spans="1:8" x14ac:dyDescent="0.3">
      <c r="A25" s="16"/>
      <c r="B25" s="17"/>
    </row>
    <row r="26" spans="1:8" x14ac:dyDescent="0.3">
      <c r="A26" s="16"/>
      <c r="B26" s="17"/>
    </row>
    <row r="27" spans="1:8" x14ac:dyDescent="0.3">
      <c r="A27" s="16"/>
      <c r="B27" s="17"/>
    </row>
    <row r="28" spans="1:8" x14ac:dyDescent="0.3">
      <c r="A28" s="16"/>
      <c r="B28" s="17"/>
    </row>
    <row r="29" spans="1:8" x14ac:dyDescent="0.3">
      <c r="A29" s="16"/>
      <c r="B29" s="17"/>
    </row>
    <row r="30" spans="1:8" x14ac:dyDescent="0.3">
      <c r="A30" s="16"/>
      <c r="B30" s="17"/>
    </row>
    <row r="31" spans="1:8" x14ac:dyDescent="0.3">
      <c r="A31" s="16"/>
      <c r="B31" s="17"/>
    </row>
    <row r="32" spans="1:8" x14ac:dyDescent="0.3">
      <c r="A32" s="16"/>
      <c r="B32" s="17"/>
    </row>
    <row r="33" spans="1:2" x14ac:dyDescent="0.3">
      <c r="A33" s="16"/>
      <c r="B33" s="17"/>
    </row>
    <row r="34" spans="1:2" x14ac:dyDescent="0.3">
      <c r="A34" s="16"/>
      <c r="B34" s="17"/>
    </row>
    <row r="35" spans="1:2" x14ac:dyDescent="0.3">
      <c r="A35" s="16"/>
      <c r="B35" s="17"/>
    </row>
    <row r="36" spans="1:2" x14ac:dyDescent="0.3">
      <c r="A36" s="16"/>
      <c r="B36" s="17"/>
    </row>
    <row r="37" spans="1:2" x14ac:dyDescent="0.3">
      <c r="A37" s="16"/>
      <c r="B37" s="17"/>
    </row>
    <row r="38" spans="1:2" x14ac:dyDescent="0.3">
      <c r="A38" s="16"/>
      <c r="B38" s="17"/>
    </row>
    <row r="39" spans="1:2" x14ac:dyDescent="0.3">
      <c r="A39" s="16"/>
      <c r="B39" s="17"/>
    </row>
    <row r="40" spans="1:2" x14ac:dyDescent="0.3">
      <c r="A40" s="16"/>
      <c r="B40" s="17"/>
    </row>
    <row r="41" spans="1:2" x14ac:dyDescent="0.3">
      <c r="A41" s="16"/>
      <c r="B41" s="17"/>
    </row>
    <row r="42" spans="1:2" x14ac:dyDescent="0.3">
      <c r="A42" s="16"/>
      <c r="B42" s="17"/>
    </row>
    <row r="43" spans="1:2" x14ac:dyDescent="0.3">
      <c r="A43" s="16"/>
      <c r="B43" s="17"/>
    </row>
    <row r="44" spans="1:2" x14ac:dyDescent="0.3">
      <c r="A44" s="16"/>
      <c r="B44" s="17"/>
    </row>
    <row r="45" spans="1:2" x14ac:dyDescent="0.3">
      <c r="A45" s="16"/>
      <c r="B45" s="17"/>
    </row>
    <row r="46" spans="1:2" x14ac:dyDescent="0.3">
      <c r="A46" s="16"/>
      <c r="B46" s="17"/>
    </row>
    <row r="47" spans="1:2" x14ac:dyDescent="0.3">
      <c r="A47" s="16"/>
      <c r="B47" s="17"/>
    </row>
    <row r="48" spans="1:2" x14ac:dyDescent="0.3">
      <c r="A48" s="16"/>
      <c r="B48" s="17"/>
    </row>
    <row r="49" spans="1:2" x14ac:dyDescent="0.3">
      <c r="A49" s="16"/>
      <c r="B49" s="17"/>
    </row>
    <row r="50" spans="1:2" x14ac:dyDescent="0.3">
      <c r="A50" s="16"/>
      <c r="B50" s="17"/>
    </row>
    <row r="51" spans="1:2" x14ac:dyDescent="0.3">
      <c r="A51" s="16"/>
      <c r="B51" s="17"/>
    </row>
    <row r="52" spans="1:2" x14ac:dyDescent="0.3">
      <c r="A52" s="16"/>
      <c r="B52" s="17"/>
    </row>
    <row r="53" spans="1:2" x14ac:dyDescent="0.3">
      <c r="A53" s="16"/>
      <c r="B53" s="17"/>
    </row>
    <row r="54" spans="1:2" x14ac:dyDescent="0.3">
      <c r="A54" s="16"/>
      <c r="B54" s="17"/>
    </row>
    <row r="55" spans="1:2" x14ac:dyDescent="0.3">
      <c r="A55" s="16"/>
      <c r="B55" s="17"/>
    </row>
    <row r="56" spans="1:2" x14ac:dyDescent="0.3">
      <c r="A56" s="16"/>
      <c r="B56" s="17"/>
    </row>
    <row r="57" spans="1:2" x14ac:dyDescent="0.3">
      <c r="A57" s="16"/>
      <c r="B57" s="17"/>
    </row>
    <row r="58" spans="1:2" x14ac:dyDescent="0.3">
      <c r="A58" s="16"/>
      <c r="B58" s="17"/>
    </row>
    <row r="59" spans="1:2" x14ac:dyDescent="0.3">
      <c r="A59" s="16"/>
      <c r="B59" s="17"/>
    </row>
    <row r="60" spans="1:2" x14ac:dyDescent="0.3">
      <c r="A60" s="16"/>
      <c r="B60" s="17"/>
    </row>
  </sheetData>
  <mergeCells count="1">
    <mergeCell ref="D17:H17"/>
  </mergeCells>
  <dataValidations disablePrompts="1" count="1">
    <dataValidation type="list" allowBlank="1" showInputMessage="1" showErrorMessage="1" sqref="B7" xr:uid="{9887C3D9-0565-4471-929F-C8627F7789A8}">
      <formula1>"n-heptano, n-pentano"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99C0D-B9B7-4851-BE57-EA3A1C500665}">
  <dimension ref="A1:H52"/>
  <sheetViews>
    <sheetView workbookViewId="0">
      <selection activeCell="A12" sqref="A12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23.1</v>
      </c>
    </row>
    <row r="3" spans="1:2" x14ac:dyDescent="0.3">
      <c r="A3" s="3" t="s">
        <v>7</v>
      </c>
      <c r="B3" s="5">
        <v>41.7</v>
      </c>
    </row>
    <row r="4" spans="1:2" x14ac:dyDescent="0.3">
      <c r="A4" s="3" t="s">
        <v>1</v>
      </c>
      <c r="B4" s="5">
        <v>19.5</v>
      </c>
    </row>
    <row r="5" spans="1:2" ht="15" thickBot="1" x14ac:dyDescent="0.35">
      <c r="A5" s="3" t="s">
        <v>2</v>
      </c>
      <c r="B5" s="6">
        <v>15.3</v>
      </c>
    </row>
    <row r="6" spans="1:2" x14ac:dyDescent="0.3">
      <c r="A6" s="2" t="s">
        <v>6</v>
      </c>
      <c r="B6" s="14">
        <f>23+273.15</f>
        <v>296.14999999999998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27">
        <v>0.50725668750098696</v>
      </c>
      <c r="B9" s="27">
        <v>6.5573773225618198E-3</v>
      </c>
    </row>
    <row r="10" spans="1:2" x14ac:dyDescent="0.3">
      <c r="A10" s="27">
        <v>0.52106194675925599</v>
      </c>
      <c r="B10" s="27">
        <v>7.5409689123005002E-3</v>
      </c>
    </row>
    <row r="11" spans="1:2" x14ac:dyDescent="0.3">
      <c r="A11" s="27">
        <v>0.536991148148103</v>
      </c>
      <c r="B11" s="27">
        <v>9.8360534766381204E-3</v>
      </c>
    </row>
    <row r="12" spans="1:2" x14ac:dyDescent="0.3">
      <c r="A12" s="27">
        <v>0.55398228009218398</v>
      </c>
      <c r="B12" s="27">
        <v>1.3114742137919E-2</v>
      </c>
    </row>
    <row r="13" spans="1:2" x14ac:dyDescent="0.3">
      <c r="A13" s="27">
        <v>0.56778762037056096</v>
      </c>
      <c r="B13" s="27">
        <v>1.6393430799199901E-2</v>
      </c>
    </row>
    <row r="14" spans="1:2" x14ac:dyDescent="0.3">
      <c r="A14" s="27">
        <v>0.58159296064893795</v>
      </c>
      <c r="B14" s="27">
        <v>1.9999995830931701E-2</v>
      </c>
    </row>
    <row r="15" spans="1:2" x14ac:dyDescent="0.3">
      <c r="A15" s="27">
        <v>0.59433628935197202</v>
      </c>
      <c r="B15" s="27">
        <v>2.42622635747466E-2</v>
      </c>
    </row>
    <row r="16" spans="1:2" x14ac:dyDescent="0.3">
      <c r="A16" s="27">
        <v>0.60495575694453696</v>
      </c>
      <c r="B16" s="27">
        <v>2.8524581347380201E-2</v>
      </c>
    </row>
    <row r="17" spans="1:8" x14ac:dyDescent="0.3">
      <c r="A17" s="27">
        <v>0.61769908564757103</v>
      </c>
      <c r="B17" s="27">
        <v>3.37704907097525E-2</v>
      </c>
      <c r="D17" s="28" t="s">
        <v>12</v>
      </c>
      <c r="E17" s="28"/>
      <c r="F17" s="28"/>
      <c r="G17" s="28"/>
      <c r="H17" s="28"/>
    </row>
    <row r="18" spans="1:8" x14ac:dyDescent="0.3">
      <c r="A18" s="27">
        <v>0.62725662268490101</v>
      </c>
      <c r="B18" s="27">
        <v>3.8032783467976797E-2</v>
      </c>
    </row>
    <row r="19" spans="1:8" x14ac:dyDescent="0.3">
      <c r="A19" s="27">
        <v>0.641061962963278</v>
      </c>
      <c r="B19" s="27">
        <v>4.4262284420087797E-2</v>
      </c>
    </row>
    <row r="20" spans="1:8" x14ac:dyDescent="0.3">
      <c r="A20" s="27">
        <v>0.652743361111077</v>
      </c>
      <c r="B20" s="27">
        <v>5.0163921508952498E-2</v>
      </c>
    </row>
    <row r="21" spans="1:8" x14ac:dyDescent="0.3">
      <c r="A21" s="27">
        <v>0.66442475925887601</v>
      </c>
      <c r="B21" s="27">
        <v>5.5409805856915399E-2</v>
      </c>
    </row>
    <row r="22" spans="1:8" x14ac:dyDescent="0.3">
      <c r="A22" s="27">
        <v>0.67292036574097103</v>
      </c>
      <c r="B22" s="27">
        <v>6.0327863863246199E-2</v>
      </c>
    </row>
    <row r="23" spans="1:8" x14ac:dyDescent="0.3">
      <c r="A23" s="27">
        <v>0.68566369444400499</v>
      </c>
      <c r="B23" s="27">
        <v>6.6229500952110901E-2</v>
      </c>
    </row>
    <row r="24" spans="1:8" x14ac:dyDescent="0.3">
      <c r="A24" s="27">
        <v>0.69840710416714702</v>
      </c>
      <c r="B24" s="27">
        <v>7.1803274177729401E-2</v>
      </c>
    </row>
    <row r="25" spans="1:8" x14ac:dyDescent="0.3">
      <c r="A25" s="27">
        <v>0.71008850231494602</v>
      </c>
      <c r="B25" s="27">
        <v>7.8032787637045006E-2</v>
      </c>
    </row>
    <row r="26" spans="1:8" x14ac:dyDescent="0.3">
      <c r="A26" s="27">
        <v>0.72070796990751096</v>
      </c>
      <c r="B26" s="27">
        <v>8.2950820628966401E-2</v>
      </c>
    </row>
    <row r="27" spans="1:8" x14ac:dyDescent="0.3">
      <c r="A27" s="27">
        <v>0.73132743750007501</v>
      </c>
      <c r="B27" s="27">
        <v>8.7540977250436899E-2</v>
      </c>
    </row>
    <row r="28" spans="1:8" x14ac:dyDescent="0.3">
      <c r="A28" s="27">
        <v>0.74194690509264005</v>
      </c>
      <c r="B28" s="27">
        <v>9.1803270008661203E-2</v>
      </c>
    </row>
    <row r="29" spans="1:8" x14ac:dyDescent="0.3">
      <c r="A29" s="27">
        <v>0.75362830324043895</v>
      </c>
      <c r="B29" s="27">
        <v>9.6393439137336306E-2</v>
      </c>
    </row>
    <row r="30" spans="1:8" x14ac:dyDescent="0.3">
      <c r="A30" s="27">
        <v>0.76743364351881604</v>
      </c>
      <c r="B30" s="27">
        <v>0.100327868032314</v>
      </c>
    </row>
    <row r="31" spans="1:8" x14ac:dyDescent="0.3">
      <c r="A31" s="27">
        <v>0.775929168980803</v>
      </c>
      <c r="B31" s="27">
        <v>0.103606556693595</v>
      </c>
    </row>
    <row r="32" spans="1:8" x14ac:dyDescent="0.3">
      <c r="A32" s="27">
        <v>0.79079643981441505</v>
      </c>
      <c r="B32" s="27">
        <v>0.108196713315065</v>
      </c>
    </row>
    <row r="33" spans="1:2" x14ac:dyDescent="0.3">
      <c r="A33" s="27">
        <v>0.805663710648027</v>
      </c>
      <c r="B33" s="27">
        <v>0.112131142210043</v>
      </c>
    </row>
    <row r="34" spans="1:2" x14ac:dyDescent="0.3">
      <c r="A34" s="27">
        <v>0.82265484259210797</v>
      </c>
      <c r="B34" s="27">
        <v>0.115737700988173</v>
      </c>
    </row>
    <row r="35" spans="1:2" x14ac:dyDescent="0.3">
      <c r="A35" s="27">
        <v>0.83964597453619005</v>
      </c>
      <c r="B35" s="27">
        <v>0.119344259766302</v>
      </c>
    </row>
    <row r="36" spans="1:2" x14ac:dyDescent="0.3">
      <c r="A36" s="27">
        <v>0.85982297916608397</v>
      </c>
      <c r="B36" s="27">
        <v>0.12229507831073499</v>
      </c>
    </row>
    <row r="37" spans="1:2" x14ac:dyDescent="0.3">
      <c r="A37" s="27">
        <v>0.87893805324074303</v>
      </c>
      <c r="B37" s="27">
        <v>0.124918032991921</v>
      </c>
    </row>
    <row r="38" spans="1:2" x14ac:dyDescent="0.3">
      <c r="A38" s="27">
        <v>0.90017698842587202</v>
      </c>
      <c r="B38" s="27">
        <v>0.12590163708886401</v>
      </c>
    </row>
    <row r="39" spans="1:2" x14ac:dyDescent="0.3">
      <c r="A39" s="27">
        <v>0.91823005092518795</v>
      </c>
      <c r="B39" s="27">
        <v>0.12688524743940999</v>
      </c>
    </row>
    <row r="40" spans="1:2" x14ac:dyDescent="0.3">
      <c r="A40" s="27">
        <v>0.93522118286927003</v>
      </c>
      <c r="B40" s="27">
        <v>0.126557377322561</v>
      </c>
    </row>
    <row r="41" spans="1:2" x14ac:dyDescent="0.3">
      <c r="A41" s="27">
        <v>0.95115038425811704</v>
      </c>
      <c r="B41" s="27">
        <v>0.124918032991921</v>
      </c>
    </row>
    <row r="42" spans="1:2" x14ac:dyDescent="0.3">
      <c r="A42" s="16"/>
      <c r="B42" s="17"/>
    </row>
    <row r="43" spans="1:2" x14ac:dyDescent="0.3">
      <c r="A43" s="16"/>
      <c r="B43" s="17"/>
    </row>
    <row r="44" spans="1:2" x14ac:dyDescent="0.3">
      <c r="A44" s="16"/>
      <c r="B44" s="17"/>
    </row>
    <row r="45" spans="1:2" x14ac:dyDescent="0.3">
      <c r="A45" s="16"/>
      <c r="B45" s="17"/>
    </row>
    <row r="46" spans="1:2" x14ac:dyDescent="0.3">
      <c r="A46" s="16"/>
      <c r="B46" s="17"/>
    </row>
    <row r="47" spans="1:2" x14ac:dyDescent="0.3">
      <c r="A47" s="16"/>
      <c r="B47" s="17"/>
    </row>
    <row r="48" spans="1:2" x14ac:dyDescent="0.3">
      <c r="A48" s="16"/>
      <c r="B48" s="17"/>
    </row>
    <row r="49" spans="1:2" x14ac:dyDescent="0.3">
      <c r="A49" s="16"/>
      <c r="B49" s="17"/>
    </row>
    <row r="50" spans="1:2" x14ac:dyDescent="0.3">
      <c r="A50" s="16"/>
      <c r="B50" s="17"/>
    </row>
    <row r="51" spans="1:2" x14ac:dyDescent="0.3">
      <c r="A51" s="16"/>
      <c r="B51" s="17"/>
    </row>
    <row r="52" spans="1:2" x14ac:dyDescent="0.3">
      <c r="A52" s="16"/>
      <c r="B52" s="17"/>
    </row>
  </sheetData>
  <mergeCells count="1">
    <mergeCell ref="D17:H17"/>
  </mergeCells>
  <dataValidations count="1">
    <dataValidation type="list" allowBlank="1" showInputMessage="1" showErrorMessage="1" sqref="B7" xr:uid="{8310692E-EC9A-4885-85E2-F4369B6C60C1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Yanes_P1</vt:lpstr>
      <vt:lpstr>Yanes_P2</vt:lpstr>
      <vt:lpstr>Yanes_P3</vt:lpstr>
      <vt:lpstr>Alves_BR1_5C</vt:lpstr>
      <vt:lpstr>Alves_BR1_25C</vt:lpstr>
      <vt:lpstr>Alves_BR1_50C</vt:lpstr>
      <vt:lpstr>Alves_BR2_5C</vt:lpstr>
      <vt:lpstr>Alves_BR2_25C</vt:lpstr>
      <vt:lpstr>Alves_BR2_50C</vt:lpstr>
      <vt:lpstr>Alves_BR3_5C</vt:lpstr>
      <vt:lpstr>Alves_BR3_25C</vt:lpstr>
      <vt:lpstr>Alves_BR3_50C</vt:lpstr>
      <vt:lpstr>Tharanivasan_Lloydminster_hept</vt:lpstr>
      <vt:lpstr>Tharanivasan_Lloydminster_pent</vt:lpstr>
      <vt:lpstr>Tharanivasan_Lloydminster_heptM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N. E.</dc:creator>
  <cp:lastModifiedBy>Vítor Jucá Policarpo</cp:lastModifiedBy>
  <dcterms:created xsi:type="dcterms:W3CDTF">2015-06-05T18:19:34Z</dcterms:created>
  <dcterms:modified xsi:type="dcterms:W3CDTF">2025-12-11T21:01:30Z</dcterms:modified>
</cp:coreProperties>
</file>