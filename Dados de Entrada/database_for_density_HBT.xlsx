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383772dadf60a/Documentos/Vitor/Projetos/PycharmProjects/Projeto_TotalEnergies/Dados de Entrada/"/>
    </mc:Choice>
  </mc:AlternateContent>
  <xr:revisionPtr revIDLastSave="314" documentId="13_ncr:1_{BC33DC50-810D-4DCE-ACD9-52A3C9185813}" xr6:coauthVersionLast="47" xr6:coauthVersionMax="47" xr10:uidLastSave="{24776F37-C1C6-4A44-9FAC-17BA3ACF233A}"/>
  <bookViews>
    <workbookView xWindow="-108" yWindow="-108" windowWidth="23256" windowHeight="12456" activeTab="2" xr2:uid="{40976F16-B14B-4829-9874-DA883A48DC7E}"/>
  </bookViews>
  <sheets>
    <sheet name="Data" sheetId="1" r:id="rId1"/>
    <sheet name="Densities" sheetId="2" r:id="rId2"/>
    <sheet name="Delt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3" l="1"/>
  <c r="G4" i="3" s="1"/>
  <c r="C5" i="3"/>
  <c r="C6" i="3"/>
  <c r="G6" i="3" s="1"/>
  <c r="C7" i="3"/>
  <c r="C8" i="3"/>
  <c r="C9" i="3"/>
  <c r="C10" i="3"/>
  <c r="G10" i="3" s="1"/>
  <c r="C11" i="3"/>
  <c r="G11" i="3" s="1"/>
  <c r="C12" i="3"/>
  <c r="G12" i="3" s="1"/>
  <c r="C13" i="3"/>
  <c r="C14" i="3"/>
  <c r="G14" i="3" s="1"/>
  <c r="C15" i="3"/>
  <c r="C16" i="3"/>
  <c r="C17" i="3"/>
  <c r="C18" i="3"/>
  <c r="G18" i="3" s="1"/>
  <c r="C19" i="3"/>
  <c r="G19" i="3" s="1"/>
  <c r="C20" i="3"/>
  <c r="G20" i="3" s="1"/>
  <c r="C21" i="3"/>
  <c r="C22" i="3"/>
  <c r="G22" i="3" s="1"/>
  <c r="C23" i="3"/>
  <c r="C24" i="3"/>
  <c r="C25" i="3"/>
  <c r="C3" i="3"/>
  <c r="G5" i="3"/>
  <c r="G7" i="3"/>
  <c r="G8" i="3"/>
  <c r="G9" i="3"/>
  <c r="G13" i="3"/>
  <c r="G15" i="3"/>
  <c r="G16" i="3"/>
  <c r="G17" i="3"/>
  <c r="G21" i="3"/>
  <c r="G23" i="3"/>
  <c r="G24" i="3"/>
  <c r="G25" i="3"/>
  <c r="G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B22" i="2"/>
  <c r="B21" i="2"/>
  <c r="B20" i="2"/>
  <c r="B19" i="2"/>
  <c r="B2" i="3"/>
  <c r="E2" i="3" s="1"/>
  <c r="B3" i="3"/>
  <c r="B4" i="3"/>
  <c r="B5" i="3"/>
  <c r="B6" i="3"/>
  <c r="B7" i="3"/>
  <c r="B8" i="3"/>
  <c r="B9" i="3"/>
  <c r="E9" i="3" s="1"/>
  <c r="B10" i="3"/>
  <c r="E10" i="3" s="1"/>
  <c r="B11" i="3"/>
  <c r="B12" i="3"/>
  <c r="B13" i="3"/>
  <c r="E13" i="3" s="1"/>
  <c r="B14" i="3"/>
  <c r="B15" i="3"/>
  <c r="E15" i="3" s="1"/>
  <c r="B16" i="3"/>
  <c r="B17" i="3"/>
  <c r="E17" i="3" s="1"/>
  <c r="B18" i="3"/>
  <c r="E18" i="3" s="1"/>
  <c r="B19" i="3"/>
  <c r="B20" i="3"/>
  <c r="B21" i="3"/>
  <c r="E21" i="3" s="1"/>
  <c r="B22" i="3"/>
  <c r="B23" i="3"/>
  <c r="E23" i="3" s="1"/>
  <c r="B24" i="3"/>
  <c r="B25" i="3"/>
  <c r="E25" i="3" s="1"/>
  <c r="E3" i="3"/>
  <c r="E4" i="3"/>
  <c r="E5" i="3"/>
  <c r="E6" i="3"/>
  <c r="E7" i="3"/>
  <c r="E8" i="3"/>
  <c r="E11" i="3"/>
  <c r="E12" i="3"/>
  <c r="E14" i="3"/>
  <c r="E16" i="3"/>
  <c r="E19" i="3"/>
  <c r="E20" i="3"/>
  <c r="E22" i="3"/>
  <c r="E24" i="3"/>
  <c r="B11" i="2"/>
  <c r="F4" i="2" s="1"/>
  <c r="G4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" i="2"/>
  <c r="I4" i="2" l="1"/>
  <c r="J4" i="2" s="1"/>
  <c r="K4" i="2" s="1"/>
  <c r="L4" i="2" s="1"/>
  <c r="F11" i="2"/>
  <c r="G11" i="2" s="1"/>
  <c r="F24" i="2"/>
  <c r="G24" i="2" s="1"/>
  <c r="F16" i="2"/>
  <c r="G16" i="2" s="1"/>
  <c r="F8" i="2"/>
  <c r="G8" i="2" s="1"/>
  <c r="F19" i="2"/>
  <c r="G19" i="2" s="1"/>
  <c r="F2" i="2"/>
  <c r="F23" i="2"/>
  <c r="G23" i="2" s="1"/>
  <c r="F15" i="2"/>
  <c r="G15" i="2" s="1"/>
  <c r="F7" i="2"/>
  <c r="G7" i="2" s="1"/>
  <c r="F3" i="2"/>
  <c r="G3" i="2" s="1"/>
  <c r="F18" i="2"/>
  <c r="G18" i="2" s="1"/>
  <c r="F10" i="2"/>
  <c r="G10" i="2" s="1"/>
  <c r="F25" i="2"/>
  <c r="G25" i="2" s="1"/>
  <c r="F9" i="2"/>
  <c r="G9" i="2" s="1"/>
  <c r="F22" i="2"/>
  <c r="G22" i="2" s="1"/>
  <c r="F14" i="2"/>
  <c r="G14" i="2" s="1"/>
  <c r="F6" i="2"/>
  <c r="G6" i="2" s="1"/>
  <c r="F17" i="2"/>
  <c r="G17" i="2" s="1"/>
  <c r="F21" i="2"/>
  <c r="G21" i="2" s="1"/>
  <c r="F13" i="2"/>
  <c r="G13" i="2" s="1"/>
  <c r="F5" i="2"/>
  <c r="G5" i="2" s="1"/>
  <c r="F20" i="2"/>
  <c r="G20" i="2" s="1"/>
  <c r="F12" i="2"/>
  <c r="G12" i="2" s="1"/>
  <c r="J6" i="2" l="1"/>
  <c r="K6" i="2" s="1"/>
  <c r="L6" i="2" s="1"/>
  <c r="J7" i="2"/>
  <c r="K7" i="2" s="1"/>
  <c r="L7" i="2" s="1"/>
  <c r="J22" i="2"/>
  <c r="K22" i="2" s="1"/>
  <c r="L22" i="2" s="1"/>
  <c r="J25" i="2"/>
  <c r="K25" i="2" s="1"/>
  <c r="L25" i="2" s="1"/>
  <c r="F4" i="3"/>
  <c r="I19" i="2"/>
  <c r="J19" i="2" s="1"/>
  <c r="K19" i="2" s="1"/>
  <c r="L19" i="2" s="1"/>
  <c r="I21" i="2"/>
  <c r="J21" i="2" s="1"/>
  <c r="K21" i="2" s="1"/>
  <c r="L21" i="2" s="1"/>
  <c r="I16" i="2"/>
  <c r="J16" i="2" s="1"/>
  <c r="K16" i="2" s="1"/>
  <c r="L16" i="2" s="1"/>
  <c r="I9" i="2"/>
  <c r="J9" i="2" s="1"/>
  <c r="K9" i="2" s="1"/>
  <c r="L9" i="2" s="1"/>
  <c r="I25" i="2"/>
  <c r="I8" i="2"/>
  <c r="J8" i="2" s="1"/>
  <c r="K8" i="2" s="1"/>
  <c r="L8" i="2" s="1"/>
  <c r="I18" i="2"/>
  <c r="J18" i="2" s="1"/>
  <c r="K18" i="2" s="1"/>
  <c r="L18" i="2" s="1"/>
  <c r="I17" i="2"/>
  <c r="J17" i="2" s="1"/>
  <c r="K17" i="2" s="1"/>
  <c r="L17" i="2" s="1"/>
  <c r="I3" i="2"/>
  <c r="J3" i="2" s="1"/>
  <c r="K3" i="2" s="1"/>
  <c r="L3" i="2" s="1"/>
  <c r="I24" i="2"/>
  <c r="J24" i="2" s="1"/>
  <c r="K24" i="2" s="1"/>
  <c r="L24" i="2" s="1"/>
  <c r="I13" i="2"/>
  <c r="J13" i="2" s="1"/>
  <c r="K13" i="2" s="1"/>
  <c r="L13" i="2" s="1"/>
  <c r="I6" i="2"/>
  <c r="I7" i="2"/>
  <c r="I11" i="2"/>
  <c r="J11" i="2" s="1"/>
  <c r="K11" i="2" s="1"/>
  <c r="L11" i="2" s="1"/>
  <c r="I20" i="2"/>
  <c r="J20" i="2" s="1"/>
  <c r="K20" i="2" s="1"/>
  <c r="L20" i="2" s="1"/>
  <c r="I5" i="2"/>
  <c r="J5" i="2" s="1"/>
  <c r="K5" i="2" s="1"/>
  <c r="L5" i="2" s="1"/>
  <c r="I10" i="2"/>
  <c r="J10" i="2" s="1"/>
  <c r="K10" i="2" s="1"/>
  <c r="L10" i="2" s="1"/>
  <c r="I14" i="2"/>
  <c r="J14" i="2" s="1"/>
  <c r="K14" i="2" s="1"/>
  <c r="L14" i="2" s="1"/>
  <c r="I15" i="2"/>
  <c r="J15" i="2" s="1"/>
  <c r="K15" i="2" s="1"/>
  <c r="L15" i="2" s="1"/>
  <c r="I12" i="2"/>
  <c r="J12" i="2" s="1"/>
  <c r="K12" i="2" s="1"/>
  <c r="L12" i="2" s="1"/>
  <c r="I22" i="2"/>
  <c r="I23" i="2"/>
  <c r="J23" i="2" s="1"/>
  <c r="K23" i="2" s="1"/>
  <c r="L23" i="2" s="1"/>
  <c r="F22" i="3" l="1"/>
  <c r="F7" i="3"/>
  <c r="F19" i="3" l="1"/>
  <c r="F13" i="3"/>
  <c r="F20" i="3"/>
  <c r="F5" i="3"/>
  <c r="F11" i="3"/>
  <c r="F15" i="3"/>
  <c r="F14" i="3"/>
  <c r="F3" i="3"/>
  <c r="F8" i="3"/>
  <c r="F9" i="3"/>
  <c r="F25" i="3"/>
  <c r="F21" i="3"/>
  <c r="F17" i="3"/>
  <c r="F6" i="3"/>
  <c r="F24" i="3"/>
  <c r="F16" i="3"/>
  <c r="F12" i="3"/>
  <c r="F10" i="3"/>
  <c r="F18" i="3"/>
  <c r="F23" i="3"/>
</calcChain>
</file>

<file path=xl/sharedStrings.xml><?xml version="1.0" encoding="utf-8"?>
<sst xmlns="http://schemas.openxmlformats.org/spreadsheetml/2006/main" count="112" uniqueCount="50">
  <si>
    <t>substance</t>
  </si>
  <si>
    <t>molar mass (g/mol)</t>
  </si>
  <si>
    <t>critic temperature (K)</t>
  </si>
  <si>
    <t>SRK acentric factor</t>
  </si>
  <si>
    <t>V* (L/mol)</t>
  </si>
  <si>
    <t>metano</t>
  </si>
  <si>
    <t>etano</t>
  </si>
  <si>
    <t>propano</t>
  </si>
  <si>
    <t>n-butano</t>
  </si>
  <si>
    <t>isobutano</t>
  </si>
  <si>
    <t>n-pentano</t>
  </si>
  <si>
    <t>isopentano</t>
  </si>
  <si>
    <t>neopentano</t>
  </si>
  <si>
    <t>n-hexano</t>
  </si>
  <si>
    <t>n-heptano</t>
  </si>
  <si>
    <t>n-nonano</t>
  </si>
  <si>
    <t>n-decano</t>
  </si>
  <si>
    <t>n-undecano</t>
  </si>
  <si>
    <t>n-dodecano</t>
  </si>
  <si>
    <t>n-tridecano</t>
  </si>
  <si>
    <t>n-tetradecano</t>
  </si>
  <si>
    <t>n-pentadecano</t>
  </si>
  <si>
    <t>n-hexadecano</t>
  </si>
  <si>
    <t>benzeno</t>
  </si>
  <si>
    <t>tolueno</t>
  </si>
  <si>
    <t>o-xileno</t>
  </si>
  <si>
    <t>m-xileno</t>
  </si>
  <si>
    <t>p-xileno</t>
  </si>
  <si>
    <t>n-octano</t>
  </si>
  <si>
    <t>a</t>
  </si>
  <si>
    <t>b</t>
  </si>
  <si>
    <t>c</t>
  </si>
  <si>
    <t>d</t>
  </si>
  <si>
    <t>e</t>
  </si>
  <si>
    <t>f</t>
  </si>
  <si>
    <t>g</t>
  </si>
  <si>
    <t>h</t>
  </si>
  <si>
    <t>T</t>
  </si>
  <si>
    <t>V* (m³/mol)</t>
  </si>
  <si>
    <t>reduced temperature (-)</t>
  </si>
  <si>
    <t>aux</t>
  </si>
  <si>
    <t>Vr0</t>
  </si>
  <si>
    <t>Vr1</t>
  </si>
  <si>
    <t>V (m³/mol)</t>
  </si>
  <si>
    <t>V (cm³/mol)</t>
  </si>
  <si>
    <t>ΔHvap (J/mol)</t>
  </si>
  <si>
    <t>δ_Akbarzadeh (Mpa^0.5)</t>
  </si>
  <si>
    <t>δ_Vargas (Mpa^0.5)</t>
  </si>
  <si>
    <t>density (g/cm³)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</si>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</sst>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000"/>
    <numFmt numFmtId="166" formatCode="0.000E+00"/>
    <numFmt numFmtId="167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quotePrefix="1" applyNumberFormat="1" applyAlignment="1">
      <alignment horizontal="center" vertical="center"/>
    </xf>
    <xf numFmtId="165" fontId="0" fillId="0" borderId="0" xfId="0" quotePrefix="1" applyNumberFormat="1" applyAlignment="1">
      <alignment horizontal="center" vertical="center"/>
    </xf>
    <xf numFmtId="2" fontId="0" fillId="0" borderId="0" xfId="0" quotePrefix="1" applyNumberFormat="1" applyAlignment="1">
      <alignment horizontal="center" vertical="center"/>
    </xf>
    <xf numFmtId="167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2" fontId="2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6314-3BD1-4C8D-9B80-C846CB0A89C4}">
  <dimension ref="A1:I25"/>
  <sheetViews>
    <sheetView workbookViewId="0">
      <selection activeCell="D1" sqref="D1"/>
    </sheetView>
  </sheetViews>
  <sheetFormatPr defaultRowHeight="14.4" x14ac:dyDescent="0.3"/>
  <cols>
    <col min="1" max="5" width="20" style="1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9" x14ac:dyDescent="0.3">
      <c r="A2" s="1" t="s">
        <v>5</v>
      </c>
      <c r="B2" s="4">
        <v>16.0425</v>
      </c>
      <c r="C2" s="5">
        <v>190.58</v>
      </c>
      <c r="D2" s="4">
        <v>7.4000000000000003E-3</v>
      </c>
      <c r="E2" s="4">
        <v>9.9400000000000002E-2</v>
      </c>
      <c r="I2" s="6"/>
    </row>
    <row r="3" spans="1:9" x14ac:dyDescent="0.3">
      <c r="A3" s="1" t="s">
        <v>6</v>
      </c>
      <c r="B3" s="4">
        <v>30.068999999999999</v>
      </c>
      <c r="C3" s="5">
        <v>305.42</v>
      </c>
      <c r="D3" s="4">
        <v>9.8299999999999998E-2</v>
      </c>
      <c r="E3" s="4">
        <v>0.14580000000000001</v>
      </c>
      <c r="I3" s="6"/>
    </row>
    <row r="4" spans="1:9" x14ac:dyDescent="0.3">
      <c r="A4" s="1" t="s">
        <v>7</v>
      </c>
      <c r="B4" s="4">
        <v>44.095599999999997</v>
      </c>
      <c r="C4" s="5">
        <v>369.82</v>
      </c>
      <c r="D4" s="4">
        <v>0.1532</v>
      </c>
      <c r="E4" s="4">
        <v>0.2001</v>
      </c>
      <c r="F4" s="6"/>
    </row>
    <row r="5" spans="1:9" x14ac:dyDescent="0.3">
      <c r="A5" s="1" t="s">
        <v>8</v>
      </c>
      <c r="B5" s="4">
        <v>58.122199999999999</v>
      </c>
      <c r="C5" s="5">
        <v>425.18</v>
      </c>
      <c r="D5" s="4">
        <v>0.20080000000000001</v>
      </c>
      <c r="E5" s="4">
        <v>0.25440000000000002</v>
      </c>
      <c r="F5" s="6"/>
    </row>
    <row r="6" spans="1:9" x14ac:dyDescent="0.3">
      <c r="A6" s="1" t="s">
        <v>9</v>
      </c>
      <c r="B6" s="4">
        <v>58.122199999999999</v>
      </c>
      <c r="C6" s="5">
        <v>408.14</v>
      </c>
      <c r="D6" s="4">
        <v>0.1825</v>
      </c>
      <c r="E6" s="4">
        <v>0.25679999999999997</v>
      </c>
      <c r="F6" s="6"/>
    </row>
    <row r="7" spans="1:9" x14ac:dyDescent="0.3">
      <c r="A7" s="1" t="s">
        <v>10</v>
      </c>
      <c r="B7" s="4">
        <v>72.148799999999994</v>
      </c>
      <c r="C7" s="5">
        <v>469.65</v>
      </c>
      <c r="D7" s="4">
        <v>0.25219999999999998</v>
      </c>
      <c r="E7" s="4">
        <v>0.31130000000000002</v>
      </c>
      <c r="F7" s="6"/>
    </row>
    <row r="8" spans="1:9" x14ac:dyDescent="0.3">
      <c r="A8" s="1" t="s">
        <v>11</v>
      </c>
      <c r="B8" s="4">
        <v>72.148799999999994</v>
      </c>
      <c r="C8" s="5">
        <v>460.43</v>
      </c>
      <c r="D8" s="4">
        <v>0.24</v>
      </c>
      <c r="E8" s="4">
        <v>0.30959999999999999</v>
      </c>
      <c r="F8" s="6"/>
    </row>
    <row r="9" spans="1:9" x14ac:dyDescent="0.3">
      <c r="A9" s="1" t="s">
        <v>12</v>
      </c>
      <c r="B9" s="4">
        <v>72.148799999999994</v>
      </c>
      <c r="C9" s="5">
        <v>433.78</v>
      </c>
      <c r="D9" s="4">
        <v>0.19750000000000001</v>
      </c>
      <c r="E9" s="4">
        <v>0.31259999999999999</v>
      </c>
      <c r="F9" s="6"/>
    </row>
    <row r="10" spans="1:9" x14ac:dyDescent="0.3">
      <c r="A10" s="1" t="s">
        <v>13</v>
      </c>
      <c r="B10" s="4">
        <v>86.175399999999996</v>
      </c>
      <c r="C10" s="5">
        <v>507.43</v>
      </c>
      <c r="D10" s="4">
        <v>0.30070000000000002</v>
      </c>
      <c r="E10" s="4">
        <v>0.36820000000000003</v>
      </c>
      <c r="F10" s="6"/>
    </row>
    <row r="11" spans="1:9" x14ac:dyDescent="0.3">
      <c r="A11" s="1" t="s">
        <v>14</v>
      </c>
      <c r="B11" s="4">
        <v>100.202</v>
      </c>
      <c r="C11" s="5">
        <v>540.26</v>
      </c>
      <c r="D11" s="4">
        <v>0.35070000000000001</v>
      </c>
      <c r="E11" s="4">
        <v>0.4304</v>
      </c>
      <c r="F11" s="6"/>
    </row>
    <row r="12" spans="1:9" x14ac:dyDescent="0.3">
      <c r="A12" s="1" t="s">
        <v>28</v>
      </c>
      <c r="B12" s="4">
        <v>114.2285</v>
      </c>
      <c r="C12" s="5">
        <v>568.83000000000004</v>
      </c>
      <c r="D12" s="4">
        <v>0.39979999999999999</v>
      </c>
      <c r="E12" s="4">
        <v>0.4904</v>
      </c>
      <c r="F12" s="6"/>
    </row>
    <row r="13" spans="1:9" x14ac:dyDescent="0.3">
      <c r="A13" s="1" t="s">
        <v>15</v>
      </c>
      <c r="B13" s="4">
        <v>128.2551</v>
      </c>
      <c r="C13" s="5">
        <v>594.64</v>
      </c>
      <c r="D13" s="4">
        <v>0.44779999999999998</v>
      </c>
      <c r="E13" s="4">
        <v>0.55289999999999995</v>
      </c>
      <c r="F13" s="6"/>
    </row>
    <row r="14" spans="1:9" x14ac:dyDescent="0.3">
      <c r="A14" s="1" t="s">
        <v>16</v>
      </c>
      <c r="B14" s="4">
        <v>142.2817</v>
      </c>
      <c r="C14" s="5">
        <v>617.65</v>
      </c>
      <c r="D14" s="4">
        <v>0.49159999999999998</v>
      </c>
      <c r="E14" s="4">
        <v>0.61919999999999997</v>
      </c>
      <c r="F14" s="6"/>
    </row>
    <row r="15" spans="1:9" x14ac:dyDescent="0.3">
      <c r="A15" s="1" t="s">
        <v>17</v>
      </c>
      <c r="B15" s="4">
        <v>156.3083</v>
      </c>
      <c r="C15" s="5">
        <v>638.73</v>
      </c>
      <c r="D15" s="4">
        <v>0.54220000000000002</v>
      </c>
      <c r="E15" s="4">
        <v>0.68640000000000001</v>
      </c>
      <c r="F15" s="6"/>
    </row>
    <row r="16" spans="1:9" x14ac:dyDescent="0.3">
      <c r="A16" s="1" t="s">
        <v>18</v>
      </c>
      <c r="B16" s="4">
        <v>170.3348</v>
      </c>
      <c r="C16" s="5">
        <v>658.26</v>
      </c>
      <c r="D16" s="4">
        <v>0.58069999999999999</v>
      </c>
      <c r="E16" s="4">
        <v>0.75580000000000003</v>
      </c>
      <c r="F16" s="6"/>
    </row>
    <row r="17" spans="1:6" x14ac:dyDescent="0.3">
      <c r="A17" s="1" t="s">
        <v>19</v>
      </c>
      <c r="B17" s="4">
        <v>184.3614</v>
      </c>
      <c r="C17" s="5">
        <v>675.76</v>
      </c>
      <c r="D17" s="4">
        <v>0.63400000000000001</v>
      </c>
      <c r="E17" s="4">
        <v>0.83169999999999999</v>
      </c>
      <c r="F17" s="6"/>
    </row>
    <row r="18" spans="1:6" x14ac:dyDescent="0.3">
      <c r="A18" s="1" t="s">
        <v>20</v>
      </c>
      <c r="B18" s="4">
        <v>198.38800000000001</v>
      </c>
      <c r="C18" s="5">
        <v>691.87</v>
      </c>
      <c r="D18" s="4">
        <v>0.68210000000000004</v>
      </c>
      <c r="E18" s="4">
        <v>0.9022</v>
      </c>
      <c r="F18" s="6"/>
    </row>
    <row r="19" spans="1:6" x14ac:dyDescent="0.3">
      <c r="A19" s="1" t="s">
        <v>21</v>
      </c>
      <c r="B19" s="4">
        <v>212.41460000000001</v>
      </c>
      <c r="C19" s="5">
        <v>706.67</v>
      </c>
      <c r="D19" s="4">
        <v>0.72540000000000004</v>
      </c>
      <c r="E19" s="4">
        <v>0.97719999999999996</v>
      </c>
      <c r="F19" s="6"/>
    </row>
    <row r="20" spans="1:6" x14ac:dyDescent="0.3">
      <c r="A20" s="1" t="s">
        <v>22</v>
      </c>
      <c r="B20" s="4">
        <v>226.44120000000001</v>
      </c>
      <c r="C20" s="5">
        <v>720.54</v>
      </c>
      <c r="D20" s="4">
        <v>0.76670000000000005</v>
      </c>
      <c r="E20" s="4">
        <v>1.0539000000000001</v>
      </c>
      <c r="F20" s="6"/>
    </row>
    <row r="21" spans="1:6" x14ac:dyDescent="0.3">
      <c r="A21" s="1" t="s">
        <v>23</v>
      </c>
      <c r="B21" s="4">
        <v>78.111800000000002</v>
      </c>
      <c r="C21" s="5">
        <v>562.16</v>
      </c>
      <c r="D21" s="4">
        <v>0.2137</v>
      </c>
      <c r="E21" s="4">
        <v>0.25640000000000002</v>
      </c>
    </row>
    <row r="22" spans="1:6" x14ac:dyDescent="0.3">
      <c r="A22" s="1" t="s">
        <v>24</v>
      </c>
      <c r="B22" s="4">
        <v>92.138400000000004</v>
      </c>
      <c r="C22" s="5">
        <v>591.79</v>
      </c>
      <c r="D22" s="4">
        <v>0.2651</v>
      </c>
      <c r="E22" s="4">
        <v>0.31369999999999998</v>
      </c>
    </row>
    <row r="23" spans="1:6" x14ac:dyDescent="0.3">
      <c r="A23" s="1" t="s">
        <v>25</v>
      </c>
      <c r="B23" s="4">
        <v>106.16500000000001</v>
      </c>
      <c r="C23" s="5">
        <v>630.37</v>
      </c>
      <c r="D23" s="4">
        <v>0.31180000000000002</v>
      </c>
      <c r="E23" s="4">
        <v>0.36730000000000002</v>
      </c>
    </row>
    <row r="24" spans="1:6" x14ac:dyDescent="0.3">
      <c r="A24" s="1" t="s">
        <v>26</v>
      </c>
      <c r="B24" s="4">
        <v>106.16500000000001</v>
      </c>
      <c r="C24" s="5">
        <v>617.04999999999995</v>
      </c>
      <c r="D24" s="4">
        <v>0.32700000000000001</v>
      </c>
      <c r="E24" s="4">
        <v>0.37309999999999999</v>
      </c>
    </row>
    <row r="25" spans="1:6" x14ac:dyDescent="0.3">
      <c r="A25" s="1" t="s">
        <v>27</v>
      </c>
      <c r="B25" s="4">
        <v>106.16500000000001</v>
      </c>
      <c r="C25" s="5">
        <v>616.26</v>
      </c>
      <c r="D25" s="4">
        <v>0.3216</v>
      </c>
      <c r="E25" s="4">
        <v>0.374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6FFF-3F8B-46FA-999B-C0D1A7C976D0}">
  <dimension ref="A1:L25"/>
  <sheetViews>
    <sheetView workbookViewId="0">
      <selection activeCell="L1" sqref="L1:L1048576"/>
    </sheetView>
  </sheetViews>
  <sheetFormatPr defaultRowHeight="14.4" x14ac:dyDescent="0.3"/>
  <cols>
    <col min="2" max="2" width="13.33203125" customWidth="1"/>
    <col min="4" max="5" width="20" style="1" customWidth="1"/>
    <col min="6" max="6" width="22.33203125" style="1" customWidth="1"/>
    <col min="7" max="9" width="11.33203125" style="1" customWidth="1"/>
    <col min="10" max="12" width="16.6640625" customWidth="1"/>
  </cols>
  <sheetData>
    <row r="1" spans="1:12" x14ac:dyDescent="0.3">
      <c r="A1" t="s">
        <v>29</v>
      </c>
      <c r="B1" s="7">
        <v>-1.52816</v>
      </c>
      <c r="D1" s="2" t="s">
        <v>0</v>
      </c>
      <c r="E1" s="2" t="s">
        <v>38</v>
      </c>
      <c r="F1" s="2" t="s">
        <v>39</v>
      </c>
      <c r="G1" s="2" t="s">
        <v>40</v>
      </c>
      <c r="H1" s="2" t="s">
        <v>41</v>
      </c>
      <c r="I1" s="2" t="s">
        <v>42</v>
      </c>
      <c r="J1" s="2" t="s">
        <v>43</v>
      </c>
      <c r="K1" s="2" t="s">
        <v>44</v>
      </c>
      <c r="L1" s="2" t="s">
        <v>48</v>
      </c>
    </row>
    <row r="2" spans="1:12" x14ac:dyDescent="0.3">
      <c r="A2" t="s">
        <v>30</v>
      </c>
      <c r="B2" s="7">
        <v>1.4390700000000001</v>
      </c>
      <c r="D2" s="1" t="s">
        <v>5</v>
      </c>
      <c r="E2" s="8">
        <f>Data!E2/1000</f>
        <v>9.9400000000000004E-5</v>
      </c>
      <c r="F2" s="4">
        <f>$B$11/Data!C2</f>
        <v>1.5644348829887709</v>
      </c>
      <c r="G2" s="11" t="s">
        <v>49</v>
      </c>
      <c r="H2" s="11" t="s">
        <v>49</v>
      </c>
      <c r="I2" s="11" t="s">
        <v>49</v>
      </c>
      <c r="J2" s="12" t="s">
        <v>49</v>
      </c>
      <c r="K2" s="13" t="s">
        <v>49</v>
      </c>
      <c r="L2" s="14" t="s">
        <v>49</v>
      </c>
    </row>
    <row r="3" spans="1:12" x14ac:dyDescent="0.3">
      <c r="A3" t="s">
        <v>31</v>
      </c>
      <c r="B3" s="7">
        <v>-0.81445999999999996</v>
      </c>
      <c r="D3" s="1" t="s">
        <v>6</v>
      </c>
      <c r="E3" s="8">
        <f>Data!E3/1000</f>
        <v>1.4580000000000002E-4</v>
      </c>
      <c r="F3" s="4">
        <f>$B$11/Data!C3</f>
        <v>0.97619671272346265</v>
      </c>
      <c r="G3" s="4">
        <f t="shared" ref="G3:G25" si="0">(1-F3)</f>
        <v>2.3803287276537355E-2</v>
      </c>
      <c r="H3" s="4">
        <f t="shared" ref="H3:H25" si="1" xml:space="preserve"> 1 + $B$1*G3^$B$19 + $B$2*G3^$B$20 + $B$3*G3 + $B$4*G3^$B$22</f>
        <v>0.66140754576704075</v>
      </c>
      <c r="I3" s="4">
        <f t="shared" ref="I3:I25" si="2" xml:space="preserve"> ($B$5 + $B$6*F3 + $B$7*F3^2 + $B$8*F3^3)/(F3 - 1.00001)</f>
        <v>0.16159366579417675</v>
      </c>
      <c r="J3" s="9">
        <f>E3*(H3*(1-Data!D3*I3))</f>
        <v>9.4901411513466537E-5</v>
      </c>
      <c r="K3" s="5">
        <f t="shared" ref="K3:K25" si="3">J3*1000*1000</f>
        <v>94.901411513466542</v>
      </c>
      <c r="L3" s="10">
        <f>Data!B3/Densities!K3</f>
        <v>0.31684460241914525</v>
      </c>
    </row>
    <row r="4" spans="1:12" x14ac:dyDescent="0.3">
      <c r="A4" t="s">
        <v>32</v>
      </c>
      <c r="B4" s="7">
        <v>0.19045400000000001</v>
      </c>
      <c r="D4" s="1" t="s">
        <v>7</v>
      </c>
      <c r="E4" s="8">
        <f>Data!E4/1000</f>
        <v>2.0010000000000001E-4</v>
      </c>
      <c r="F4" s="4">
        <f>$B$11/Data!C4</f>
        <v>0.80620301768427882</v>
      </c>
      <c r="G4" s="4">
        <f t="shared" si="0"/>
        <v>0.19379698231572118</v>
      </c>
      <c r="H4" s="4">
        <f t="shared" si="1"/>
        <v>0.46110781570914899</v>
      </c>
      <c r="I4" s="4">
        <f t="shared" si="2"/>
        <v>0.19167462234286078</v>
      </c>
      <c r="J4" s="9">
        <f>E4*(H4*(1-Data!D4*I4))</f>
        <v>8.9558275001370497E-5</v>
      </c>
      <c r="K4" s="5">
        <f t="shared" si="3"/>
        <v>89.55827500137049</v>
      </c>
      <c r="L4" s="10">
        <f>Data!B4/Densities!K4</f>
        <v>0.49236767902603318</v>
      </c>
    </row>
    <row r="5" spans="1:12" x14ac:dyDescent="0.3">
      <c r="A5" t="s">
        <v>33</v>
      </c>
      <c r="B5" s="7">
        <v>-0.29612300000000003</v>
      </c>
      <c r="D5" s="1" t="s">
        <v>8</v>
      </c>
      <c r="E5" s="8">
        <f>Data!E5/1000</f>
        <v>2.544E-4</v>
      </c>
      <c r="F5" s="4">
        <f>$B$11/Data!C5</f>
        <v>0.70123241921068713</v>
      </c>
      <c r="G5" s="4">
        <f t="shared" si="0"/>
        <v>0.29876758078931287</v>
      </c>
      <c r="H5" s="4">
        <f t="shared" si="1"/>
        <v>0.41624545864726636</v>
      </c>
      <c r="I5" s="4">
        <f t="shared" si="2"/>
        <v>0.2088146582695663</v>
      </c>
      <c r="J5" s="9">
        <f>E5*(H5*(1-Data!D5*I5))</f>
        <v>1.0145275946232093E-4</v>
      </c>
      <c r="K5" s="5">
        <f t="shared" si="3"/>
        <v>101.45275946232094</v>
      </c>
      <c r="L5" s="10">
        <f>Data!B5/Densities!K5</f>
        <v>0.57289915334029229</v>
      </c>
    </row>
    <row r="6" spans="1:12" x14ac:dyDescent="0.3">
      <c r="A6" t="s">
        <v>34</v>
      </c>
      <c r="B6" s="7">
        <v>0.38691399999999998</v>
      </c>
      <c r="D6" s="1" t="s">
        <v>9</v>
      </c>
      <c r="E6" s="8">
        <f>Data!E6/1000</f>
        <v>2.5679999999999995E-4</v>
      </c>
      <c r="F6" s="4">
        <f>$B$11/Data!C6</f>
        <v>0.73050913902092418</v>
      </c>
      <c r="G6" s="4">
        <f t="shared" si="0"/>
        <v>0.26949086097907582</v>
      </c>
      <c r="H6" s="4">
        <f t="shared" si="1"/>
        <v>0.4269932954925808</v>
      </c>
      <c r="I6" s="4">
        <f t="shared" si="2"/>
        <v>0.20414107064256351</v>
      </c>
      <c r="J6" s="9">
        <f>E6*(H6*(1-Data!D6*I6))</f>
        <v>1.0556671582341816E-4</v>
      </c>
      <c r="K6" s="5">
        <f t="shared" si="3"/>
        <v>105.56671582341816</v>
      </c>
      <c r="L6" s="10">
        <f>Data!B6/Densities!K6</f>
        <v>0.5505731569524358</v>
      </c>
    </row>
    <row r="7" spans="1:12" x14ac:dyDescent="0.3">
      <c r="A7" t="s">
        <v>35</v>
      </c>
      <c r="B7" s="7">
        <v>-4.2725800000000001E-2</v>
      </c>
      <c r="D7" s="1" t="s">
        <v>10</v>
      </c>
      <c r="E7" s="8">
        <f>Data!E7/1000</f>
        <v>3.1130000000000003E-4</v>
      </c>
      <c r="F7" s="4">
        <f>$B$11/Data!C7</f>
        <v>0.63483445118705417</v>
      </c>
      <c r="G7" s="4">
        <f t="shared" si="0"/>
        <v>0.36516554881294583</v>
      </c>
      <c r="H7" s="4">
        <f t="shared" si="1"/>
        <v>0.39522694594709717</v>
      </c>
      <c r="I7" s="4">
        <f t="shared" si="2"/>
        <v>0.21910826862960694</v>
      </c>
      <c r="J7" s="9">
        <f>E7*(H7*(1-Data!D7*I7))</f>
        <v>1.162353913124463E-4</v>
      </c>
      <c r="K7" s="5">
        <f t="shared" si="3"/>
        <v>116.2353913124463</v>
      </c>
      <c r="L7" s="10">
        <f>Data!B7/Densities!K7</f>
        <v>0.62071284128996962</v>
      </c>
    </row>
    <row r="8" spans="1:12" x14ac:dyDescent="0.3">
      <c r="A8" t="s">
        <v>36</v>
      </c>
      <c r="B8" s="7">
        <v>-4.8064500000000003E-2</v>
      </c>
      <c r="D8" s="1" t="s">
        <v>11</v>
      </c>
      <c r="E8" s="8">
        <f>Data!E8/1000</f>
        <v>3.0959999999999999E-4</v>
      </c>
      <c r="F8" s="4">
        <f>$B$11/Data!C8</f>
        <v>0.64754685837152226</v>
      </c>
      <c r="G8" s="4">
        <f t="shared" si="0"/>
        <v>0.35245314162847774</v>
      </c>
      <c r="H8" s="4">
        <f t="shared" si="1"/>
        <v>0.39894826636010039</v>
      </c>
      <c r="I8" s="4">
        <f t="shared" si="2"/>
        <v>0.21717031994155775</v>
      </c>
      <c r="J8" s="9">
        <f>E8*(H8*(1-Data!D8*I8))</f>
        <v>1.1707670531363192E-4</v>
      </c>
      <c r="K8" s="5">
        <f t="shared" si="3"/>
        <v>117.07670531363193</v>
      </c>
      <c r="L8" s="10">
        <f>Data!B8/Densities!K8</f>
        <v>0.61625239458800596</v>
      </c>
    </row>
    <row r="9" spans="1:12" x14ac:dyDescent="0.3">
      <c r="D9" s="1" t="s">
        <v>12</v>
      </c>
      <c r="E9" s="8">
        <f>Data!E9/1000</f>
        <v>3.1260000000000001E-4</v>
      </c>
      <c r="F9" s="4">
        <f>$B$11/Data!C9</f>
        <v>0.68732998294066117</v>
      </c>
      <c r="G9" s="4">
        <f t="shared" si="0"/>
        <v>0.31267001705933883</v>
      </c>
      <c r="H9" s="4">
        <f t="shared" si="1"/>
        <v>0.41149409713368923</v>
      </c>
      <c r="I9" s="4">
        <f t="shared" si="2"/>
        <v>0.21100506586411819</v>
      </c>
      <c r="J9" s="9">
        <f>E9*(H9*(1-Data!D9*I9))</f>
        <v>1.2327246509091747E-4</v>
      </c>
      <c r="K9" s="5">
        <f t="shared" si="3"/>
        <v>123.27246509091748</v>
      </c>
      <c r="L9" s="10">
        <f>Data!B9/Densities!K9</f>
        <v>0.58527912090334122</v>
      </c>
    </row>
    <row r="10" spans="1:12" x14ac:dyDescent="0.3">
      <c r="D10" s="1" t="s">
        <v>13</v>
      </c>
      <c r="E10" s="8">
        <f>Data!E10/1000</f>
        <v>3.6820000000000001E-4</v>
      </c>
      <c r="F10" s="4">
        <f>$B$11/Data!C10</f>
        <v>0.58756872869164212</v>
      </c>
      <c r="G10" s="4">
        <f t="shared" si="0"/>
        <v>0.41243127130835788</v>
      </c>
      <c r="H10" s="4">
        <f t="shared" si="1"/>
        <v>0.38240803135976126</v>
      </c>
      <c r="I10" s="4">
        <f t="shared" si="2"/>
        <v>0.22617733328624978</v>
      </c>
      <c r="J10" s="9">
        <f>E10*(H10*(1-Data!D10*I10))</f>
        <v>1.3122643519432027E-4</v>
      </c>
      <c r="K10" s="5">
        <f t="shared" si="3"/>
        <v>131.22643519432029</v>
      </c>
      <c r="L10" s="10">
        <f>Data!B10/Densities!K10</f>
        <v>0.65669237964432503</v>
      </c>
    </row>
    <row r="11" spans="1:12" x14ac:dyDescent="0.3">
      <c r="A11" t="s">
        <v>37</v>
      </c>
      <c r="B11">
        <f>273.15+25</f>
        <v>298.14999999999998</v>
      </c>
      <c r="D11" s="1" t="s">
        <v>14</v>
      </c>
      <c r="E11" s="8">
        <f>Data!E11/1000</f>
        <v>4.304E-4</v>
      </c>
      <c r="F11" s="4">
        <f>$B$11/Data!C11</f>
        <v>0.55186391737311657</v>
      </c>
      <c r="G11" s="4">
        <f t="shared" si="0"/>
        <v>0.44813608262688343</v>
      </c>
      <c r="H11" s="4">
        <f t="shared" si="1"/>
        <v>0.37363043496973136</v>
      </c>
      <c r="I11" s="4">
        <f t="shared" si="2"/>
        <v>0.23137485899056617</v>
      </c>
      <c r="J11" s="9">
        <f>E11*(H11*(1-Data!D11*I11))</f>
        <v>1.4776186340794101E-4</v>
      </c>
      <c r="K11" s="5">
        <f t="shared" si="3"/>
        <v>147.76186340794101</v>
      </c>
      <c r="L11" s="10">
        <f>Data!B11/Densities!K11</f>
        <v>0.67813167544701491</v>
      </c>
    </row>
    <row r="12" spans="1:12" x14ac:dyDescent="0.3">
      <c r="D12" s="1" t="s">
        <v>28</v>
      </c>
      <c r="E12" s="8">
        <f>Data!E12/1000</f>
        <v>4.9039999999999999E-4</v>
      </c>
      <c r="F12" s="4">
        <f>$B$11/Data!C12</f>
        <v>0.52414605418138982</v>
      </c>
      <c r="G12" s="4">
        <f t="shared" si="0"/>
        <v>0.47585394581861018</v>
      </c>
      <c r="H12" s="4">
        <f t="shared" si="1"/>
        <v>0.36726759690177935</v>
      </c>
      <c r="I12" s="4">
        <f t="shared" si="2"/>
        <v>0.23532518997401092</v>
      </c>
      <c r="J12" s="9">
        <f>E12*(H12*(1-Data!D12*I12))</f>
        <v>1.631629238067701E-4</v>
      </c>
      <c r="K12" s="5">
        <f t="shared" si="3"/>
        <v>163.16292380677012</v>
      </c>
      <c r="L12" s="10">
        <f>Data!B12/Densities!K12</f>
        <v>0.70008858222765136</v>
      </c>
    </row>
    <row r="13" spans="1:12" x14ac:dyDescent="0.3">
      <c r="D13" s="1" t="s">
        <v>15</v>
      </c>
      <c r="E13" s="8">
        <f>Data!E13/1000</f>
        <v>5.5289999999999994E-4</v>
      </c>
      <c r="F13" s="4">
        <f>$B$11/Data!C13</f>
        <v>0.50139580250235438</v>
      </c>
      <c r="G13" s="4">
        <f t="shared" si="0"/>
        <v>0.49860419749764562</v>
      </c>
      <c r="H13" s="4">
        <f t="shared" si="1"/>
        <v>0.36230499390856441</v>
      </c>
      <c r="I13" s="4">
        <f t="shared" si="2"/>
        <v>0.2385123299606208</v>
      </c>
      <c r="J13" s="9">
        <f>E13*(H13*(1-Data!D13*I13))</f>
        <v>1.7892325656216853E-4</v>
      </c>
      <c r="K13" s="5">
        <f t="shared" si="3"/>
        <v>178.92325656216855</v>
      </c>
      <c r="L13" s="10">
        <f>Data!B13/Densities!K13</f>
        <v>0.71681626225843131</v>
      </c>
    </row>
    <row r="14" spans="1:12" x14ac:dyDescent="0.3">
      <c r="D14" s="1" t="s">
        <v>16</v>
      </c>
      <c r="E14" s="8">
        <f>Data!E14/1000</f>
        <v>6.1919999999999998E-4</v>
      </c>
      <c r="F14" s="4">
        <f>$B$11/Data!C14</f>
        <v>0.48271674896786204</v>
      </c>
      <c r="G14" s="4">
        <f t="shared" si="0"/>
        <v>0.5172832510321379</v>
      </c>
      <c r="H14" s="4">
        <f t="shared" si="1"/>
        <v>0.3583896945955326</v>
      </c>
      <c r="I14" s="4">
        <f t="shared" si="2"/>
        <v>0.24109191602492541</v>
      </c>
      <c r="J14" s="9">
        <f>E14*(H14*(1-Data!D14*I14))</f>
        <v>1.9561337066980884E-4</v>
      </c>
      <c r="K14" s="5">
        <f t="shared" si="3"/>
        <v>195.61337066980883</v>
      </c>
      <c r="L14" s="10">
        <f>Data!B14/Densities!K14</f>
        <v>0.7273618337683494</v>
      </c>
    </row>
    <row r="15" spans="1:12" x14ac:dyDescent="0.3">
      <c r="D15" s="1" t="s">
        <v>17</v>
      </c>
      <c r="E15" s="8">
        <f>Data!E15/1000</f>
        <v>6.8639999999999999E-4</v>
      </c>
      <c r="F15" s="4">
        <f>$B$11/Data!C15</f>
        <v>0.46678565277973472</v>
      </c>
      <c r="G15" s="4">
        <f t="shared" si="0"/>
        <v>0.53321434722026528</v>
      </c>
      <c r="H15" s="4">
        <f t="shared" si="1"/>
        <v>0.35515558305086442</v>
      </c>
      <c r="I15" s="4">
        <f t="shared" si="2"/>
        <v>0.24326549708833467</v>
      </c>
      <c r="J15" s="9">
        <f>E15*(H15*(1-Data!D15*I15))</f>
        <v>2.1162472237873744E-4</v>
      </c>
      <c r="K15" s="5">
        <f t="shared" si="3"/>
        <v>211.62472237873746</v>
      </c>
      <c r="L15" s="10">
        <f>Data!B15/Densities!K15</f>
        <v>0.73861077402979614</v>
      </c>
    </row>
    <row r="16" spans="1:12" x14ac:dyDescent="0.3">
      <c r="D16" s="1" t="s">
        <v>18</v>
      </c>
      <c r="E16" s="8">
        <f>Data!E16/1000</f>
        <v>7.5580000000000005E-4</v>
      </c>
      <c r="F16" s="4">
        <f>$B$11/Data!C16</f>
        <v>0.45293652963874453</v>
      </c>
      <c r="G16" s="4">
        <f t="shared" si="0"/>
        <v>0.54706347036125547</v>
      </c>
      <c r="H16" s="4">
        <f t="shared" si="1"/>
        <v>0.35241810236112825</v>
      </c>
      <c r="I16" s="4">
        <f t="shared" si="2"/>
        <v>0.24513519184026608</v>
      </c>
      <c r="J16" s="9">
        <f>E16*(H16*(1-Data!D16*I16))</f>
        <v>2.2844159558141103E-4</v>
      </c>
      <c r="K16" s="5">
        <f t="shared" si="3"/>
        <v>228.44159558141104</v>
      </c>
      <c r="L16" s="10">
        <f>Data!B16/Densities!K16</f>
        <v>0.74563828696117129</v>
      </c>
    </row>
    <row r="17" spans="2:12" x14ac:dyDescent="0.3">
      <c r="D17" s="1" t="s">
        <v>19</v>
      </c>
      <c r="E17" s="8">
        <f>Data!E17/1000</f>
        <v>8.317E-4</v>
      </c>
      <c r="F17" s="4">
        <f>$B$11/Data!C17</f>
        <v>0.44120693737421568</v>
      </c>
      <c r="G17" s="4">
        <f t="shared" si="0"/>
        <v>0.55879306262578432</v>
      </c>
      <c r="H17" s="4">
        <f t="shared" si="1"/>
        <v>0.35015070196978398</v>
      </c>
      <c r="I17" s="4">
        <f t="shared" si="2"/>
        <v>0.24670431538843079</v>
      </c>
      <c r="J17" s="9">
        <f>E17*(H17*(1-Data!D17*I17))</f>
        <v>2.4567040955077461E-4</v>
      </c>
      <c r="K17" s="5">
        <f t="shared" si="3"/>
        <v>245.67040955077459</v>
      </c>
      <c r="L17" s="10">
        <f>Data!B17/Densities!K17</f>
        <v>0.75044202652292402</v>
      </c>
    </row>
    <row r="18" spans="2:12" x14ac:dyDescent="0.3">
      <c r="D18" s="1" t="s">
        <v>20</v>
      </c>
      <c r="E18" s="8">
        <f>Data!E18/1000</f>
        <v>9.0220000000000003E-4</v>
      </c>
      <c r="F18" s="4">
        <f>$B$11/Data!C18</f>
        <v>0.43093355688207319</v>
      </c>
      <c r="G18" s="4">
        <f t="shared" si="0"/>
        <v>0.56906644311792687</v>
      </c>
      <c r="H18" s="4">
        <f t="shared" si="1"/>
        <v>0.34820168332521473</v>
      </c>
      <c r="I18" s="4">
        <f t="shared" si="2"/>
        <v>0.24806776684803081</v>
      </c>
      <c r="J18" s="9">
        <f>E18*(H18*(1-Data!D18*I18))</f>
        <v>2.6099158526537503E-4</v>
      </c>
      <c r="K18" s="5">
        <f t="shared" si="3"/>
        <v>260.99158526537502</v>
      </c>
      <c r="L18" s="10">
        <f>Data!B18/Densities!K18</f>
        <v>0.76013178661787129</v>
      </c>
    </row>
    <row r="19" spans="2:12" x14ac:dyDescent="0.3">
      <c r="B19" s="6">
        <f>1/3</f>
        <v>0.33333333333333331</v>
      </c>
      <c r="D19" s="1" t="s">
        <v>21</v>
      </c>
      <c r="E19" s="8">
        <f>Data!E19/1000</f>
        <v>9.771999999999999E-4</v>
      </c>
      <c r="F19" s="4">
        <f>$B$11/Data!C19</f>
        <v>0.42190838722458857</v>
      </c>
      <c r="G19" s="4">
        <f t="shared" si="0"/>
        <v>0.57809161277541143</v>
      </c>
      <c r="H19" s="4">
        <f t="shared" si="1"/>
        <v>0.34651686898949696</v>
      </c>
      <c r="I19" s="4">
        <f t="shared" si="2"/>
        <v>0.24925718592854207</v>
      </c>
      <c r="J19" s="9">
        <f>E19*(H19*(1-Data!D19*I19))</f>
        <v>2.7739068029855119E-4</v>
      </c>
      <c r="K19" s="5">
        <f t="shared" si="3"/>
        <v>277.39068029855116</v>
      </c>
      <c r="L19" s="10">
        <f>Data!B19/Densities!K19</f>
        <v>0.76575968511768877</v>
      </c>
    </row>
    <row r="20" spans="2:12" x14ac:dyDescent="0.3">
      <c r="B20" s="6">
        <f>2/3</f>
        <v>0.66666666666666663</v>
      </c>
      <c r="D20" s="1" t="s">
        <v>22</v>
      </c>
      <c r="E20" s="8">
        <f>Data!E20/1000</f>
        <v>1.0539E-3</v>
      </c>
      <c r="F20" s="4">
        <f>$B$11/Data!C20</f>
        <v>0.41378688206067671</v>
      </c>
      <c r="G20" s="4">
        <f t="shared" si="0"/>
        <v>0.58621311793932329</v>
      </c>
      <c r="H20" s="4">
        <f t="shared" si="1"/>
        <v>0.34502197095270803</v>
      </c>
      <c r="I20" s="4">
        <f t="shared" si="2"/>
        <v>0.2503208169194529</v>
      </c>
      <c r="J20" s="9">
        <f>E20*(H20*(1-Data!D20*I20))</f>
        <v>2.9383261005268914E-4</v>
      </c>
      <c r="K20" s="5">
        <f t="shared" si="3"/>
        <v>293.83261005268912</v>
      </c>
      <c r="L20" s="10">
        <f>Data!B20/Densities!K20</f>
        <v>0.77064693384235095</v>
      </c>
    </row>
    <row r="21" spans="2:12" x14ac:dyDescent="0.3">
      <c r="B21" s="6">
        <f>3/3</f>
        <v>1</v>
      </c>
      <c r="D21" s="1" t="s">
        <v>23</v>
      </c>
      <c r="E21" s="8">
        <f>Data!E21/1000</f>
        <v>2.564E-4</v>
      </c>
      <c r="F21" s="4">
        <f>$B$11/Data!C21</f>
        <v>0.53036502063469471</v>
      </c>
      <c r="G21" s="4">
        <f t="shared" si="0"/>
        <v>0.46963497936530529</v>
      </c>
      <c r="H21" s="4">
        <f t="shared" si="1"/>
        <v>0.36866370367651363</v>
      </c>
      <c r="I21" s="4">
        <f t="shared" si="2"/>
        <v>0.23444529641246104</v>
      </c>
      <c r="J21" s="9">
        <f>E21*(H21*(1-Data!D21*I21))</f>
        <v>8.9789561674612315E-5</v>
      </c>
      <c r="K21" s="5">
        <f t="shared" si="3"/>
        <v>89.789561674612315</v>
      </c>
      <c r="L21" s="10">
        <f>Data!B21/Densities!K21</f>
        <v>0.86994299273972109</v>
      </c>
    </row>
    <row r="22" spans="2:12" x14ac:dyDescent="0.3">
      <c r="B22" s="6">
        <f>4/3</f>
        <v>1.3333333333333333</v>
      </c>
      <c r="D22" s="1" t="s">
        <v>24</v>
      </c>
      <c r="E22" s="8">
        <f>Data!E22/1000</f>
        <v>3.1369999999999998E-4</v>
      </c>
      <c r="F22" s="4">
        <f>$B$11/Data!C22</f>
        <v>0.5038104733097889</v>
      </c>
      <c r="G22" s="4">
        <f t="shared" si="0"/>
        <v>0.4961895266902111</v>
      </c>
      <c r="H22" s="4">
        <f t="shared" si="1"/>
        <v>0.36282132581513538</v>
      </c>
      <c r="I22" s="4">
        <f t="shared" si="2"/>
        <v>0.23817641374729989</v>
      </c>
      <c r="J22" s="9">
        <f>E22*(H22*(1-Data!D22*I22))</f>
        <v>1.0663057681036579E-4</v>
      </c>
      <c r="K22" s="5">
        <f t="shared" si="3"/>
        <v>106.6305768103658</v>
      </c>
      <c r="L22" s="10">
        <f>Data!B22/Densities!K22</f>
        <v>0.86408985823888951</v>
      </c>
    </row>
    <row r="23" spans="2:12" x14ac:dyDescent="0.3">
      <c r="D23" s="1" t="s">
        <v>25</v>
      </c>
      <c r="E23" s="8">
        <f>Data!E23/1000</f>
        <v>3.6730000000000004E-4</v>
      </c>
      <c r="F23" s="4">
        <f>$B$11/Data!C23</f>
        <v>0.47297618858765483</v>
      </c>
      <c r="G23" s="4">
        <f t="shared" si="0"/>
        <v>0.52702381141234511</v>
      </c>
      <c r="H23" s="4">
        <f t="shared" si="1"/>
        <v>0.35640121148615994</v>
      </c>
      <c r="I23" s="4">
        <f t="shared" si="2"/>
        <v>0.2424237820018697</v>
      </c>
      <c r="J23" s="9">
        <f>E23*(H23*(1-Data!D23*I23))</f>
        <v>1.2101126444070715E-4</v>
      </c>
      <c r="K23" s="5">
        <f t="shared" si="3"/>
        <v>121.01126444070715</v>
      </c>
      <c r="L23" s="10">
        <f>Data!B23/Densities!K23</f>
        <v>0.87731502096665148</v>
      </c>
    </row>
    <row r="24" spans="2:12" x14ac:dyDescent="0.3">
      <c r="D24" s="1" t="s">
        <v>26</v>
      </c>
      <c r="E24" s="8">
        <f>Data!E24/1000</f>
        <v>3.7309999999999996E-4</v>
      </c>
      <c r="F24" s="4">
        <f>$B$11/Data!C24</f>
        <v>0.48318612754233853</v>
      </c>
      <c r="G24" s="4">
        <f t="shared" si="0"/>
        <v>0.51681387245766142</v>
      </c>
      <c r="H24" s="4">
        <f t="shared" si="1"/>
        <v>0.35848641553250593</v>
      </c>
      <c r="I24" s="4">
        <f t="shared" si="2"/>
        <v>0.24102750558749955</v>
      </c>
      <c r="J24" s="9">
        <f>E24*(H24*(1-Data!D24*I24))</f>
        <v>1.2320954138057575E-4</v>
      </c>
      <c r="K24" s="5">
        <f t="shared" si="3"/>
        <v>123.20954138057576</v>
      </c>
      <c r="L24" s="10">
        <f>Data!B24/Densities!K24</f>
        <v>0.86166216358254488</v>
      </c>
    </row>
    <row r="25" spans="2:12" x14ac:dyDescent="0.3">
      <c r="D25" s="1" t="s">
        <v>27</v>
      </c>
      <c r="E25" s="8">
        <f>Data!E25/1000</f>
        <v>3.7399999999999998E-4</v>
      </c>
      <c r="F25" s="4">
        <f>$B$11/Data!C25</f>
        <v>0.4838055366241521</v>
      </c>
      <c r="G25" s="4">
        <f t="shared" si="0"/>
        <v>0.51619446337584796</v>
      </c>
      <c r="H25" s="4">
        <f t="shared" si="1"/>
        <v>0.35861418040023874</v>
      </c>
      <c r="I25" s="4">
        <f t="shared" si="2"/>
        <v>0.24094247479963357</v>
      </c>
      <c r="J25" s="9">
        <f>E25*(H25*(1-Data!D25*I25))</f>
        <v>1.2372900163477049E-4</v>
      </c>
      <c r="K25" s="5">
        <f t="shared" si="3"/>
        <v>123.7290016347705</v>
      </c>
      <c r="L25" s="10">
        <f>Data!B25/Densities!K25</f>
        <v>0.85804458613012335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9E0DD-9014-4D67-88B4-A2A6029CB2C0}">
  <dimension ref="A1:G25"/>
  <sheetViews>
    <sheetView tabSelected="1" workbookViewId="0">
      <selection activeCell="B1" sqref="B1:G25"/>
    </sheetView>
  </sheetViews>
  <sheetFormatPr defaultRowHeight="14.4" x14ac:dyDescent="0.3"/>
  <cols>
    <col min="1" max="2" width="20" style="1" customWidth="1"/>
    <col min="3" max="4" width="16.6640625" customWidth="1"/>
    <col min="5" max="5" width="16.6640625" style="1" customWidth="1"/>
    <col min="6" max="7" width="26.6640625" style="1" customWidth="1"/>
  </cols>
  <sheetData>
    <row r="1" spans="1:7" x14ac:dyDescent="0.3">
      <c r="A1" s="2" t="s">
        <v>0</v>
      </c>
      <c r="B1" s="2" t="s">
        <v>1</v>
      </c>
      <c r="C1" s="2" t="s">
        <v>48</v>
      </c>
      <c r="D1" s="2" t="s">
        <v>44</v>
      </c>
      <c r="E1" s="2" t="s">
        <v>45</v>
      </c>
      <c r="F1" s="2" t="s">
        <v>46</v>
      </c>
      <c r="G1" s="2" t="s">
        <v>47</v>
      </c>
    </row>
    <row r="2" spans="1:7" x14ac:dyDescent="0.3">
      <c r="A2" s="1" t="s">
        <v>5</v>
      </c>
      <c r="B2" s="4">
        <f>Data!B2</f>
        <v>16.0425</v>
      </c>
      <c r="C2" s="14" t="s">
        <v>49</v>
      </c>
      <c r="D2" s="11" t="s">
        <v>49</v>
      </c>
      <c r="E2" s="5">
        <f>IF(B2&lt;=60, 3492.8 + 276.54*B2 + 0.524*B2^2, 103.65 + 368.7*B2 -0.0603*B2^2)</f>
        <v>8064.0505364750006</v>
      </c>
      <c r="F2" s="16" t="s">
        <v>49</v>
      </c>
      <c r="G2" s="15" t="s">
        <v>49</v>
      </c>
    </row>
    <row r="3" spans="1:7" x14ac:dyDescent="0.3">
      <c r="A3" s="1" t="s">
        <v>6</v>
      </c>
      <c r="B3" s="4">
        <f>Data!B3</f>
        <v>30.068999999999999</v>
      </c>
      <c r="C3" s="10">
        <f>Densities!L3</f>
        <v>0.31684460241914525</v>
      </c>
      <c r="D3" s="4">
        <f>Densities!K3</f>
        <v>94.901411513466542</v>
      </c>
      <c r="E3" s="5">
        <f t="shared" ref="E3:E25" si="0">IF(B3&lt;=60, 3492.8 + 276.54*B3 + 0.524*B3^2, 103.65 + 368.7*B3 -0.0603*B3^2)</f>
        <v>12281.853114763999</v>
      </c>
      <c r="F3" s="5">
        <f t="shared" ref="F3:F25" si="1" xml:space="preserve"> SQRT((E3 - 298.15*8.3144621)/D3)</f>
        <v>10.163443259487067</v>
      </c>
      <c r="G3" s="5">
        <f>IF(B3&gt;60,17.347*C3+2.904,2.904+26.302*C3-20.5618*C3^2+12.0425*C3^3)</f>
        <v>9.5564874197627478</v>
      </c>
    </row>
    <row r="4" spans="1:7" x14ac:dyDescent="0.3">
      <c r="A4" s="1" t="s">
        <v>7</v>
      </c>
      <c r="B4" s="4">
        <f>Data!B4</f>
        <v>44.095599999999997</v>
      </c>
      <c r="C4" s="10">
        <f>Densities!L4</f>
        <v>0.49236767902603318</v>
      </c>
      <c r="D4" s="4">
        <f>Densities!K4</f>
        <v>89.55827500137049</v>
      </c>
      <c r="E4" s="5">
        <f t="shared" si="0"/>
        <v>16705.874320224641</v>
      </c>
      <c r="F4" s="5">
        <f t="shared" si="1"/>
        <v>12.603830259440306</v>
      </c>
      <c r="G4" s="5">
        <f t="shared" ref="G4:G25" si="2">IF(B4&gt;60,17.347*C4+2.904,2.904+26.302*C4-20.5618*C4^2+12.0425*C4^3)</f>
        <v>12.306966410831215</v>
      </c>
    </row>
    <row r="5" spans="1:7" x14ac:dyDescent="0.3">
      <c r="A5" s="1" t="s">
        <v>8</v>
      </c>
      <c r="B5" s="4">
        <f>Data!B5</f>
        <v>58.122199999999999</v>
      </c>
      <c r="C5" s="10">
        <f>Densities!L5</f>
        <v>0.57289915334029229</v>
      </c>
      <c r="D5" s="4">
        <f>Densities!K5</f>
        <v>101.45275946232094</v>
      </c>
      <c r="E5" s="5">
        <f t="shared" si="0"/>
        <v>21336.084817608164</v>
      </c>
      <c r="F5" s="5">
        <f t="shared" si="1"/>
        <v>13.63345226219907</v>
      </c>
      <c r="G5" s="5">
        <f t="shared" si="2"/>
        <v>13.488124255728854</v>
      </c>
    </row>
    <row r="6" spans="1:7" x14ac:dyDescent="0.3">
      <c r="A6" s="1" t="s">
        <v>9</v>
      </c>
      <c r="B6" s="4">
        <f>Data!B6</f>
        <v>58.122199999999999</v>
      </c>
      <c r="C6" s="10">
        <f>Densities!L6</f>
        <v>0.5505731569524358</v>
      </c>
      <c r="D6" s="4">
        <f>Densities!K6</f>
        <v>105.56671582341816</v>
      </c>
      <c r="E6" s="5">
        <f t="shared" si="0"/>
        <v>21336.084817608164</v>
      </c>
      <c r="F6" s="5">
        <f t="shared" si="1"/>
        <v>13.365163267034147</v>
      </c>
      <c r="G6" s="5">
        <f t="shared" si="2"/>
        <v>13.162101519381206</v>
      </c>
    </row>
    <row r="7" spans="1:7" x14ac:dyDescent="0.3">
      <c r="A7" s="1" t="s">
        <v>10</v>
      </c>
      <c r="B7" s="4">
        <f>Data!B7</f>
        <v>72.148799999999994</v>
      </c>
      <c r="C7" s="10">
        <f>Densities!L7</f>
        <v>0.62071284128996962</v>
      </c>
      <c r="D7" s="4">
        <f>Densities!K7</f>
        <v>116.2353913124463</v>
      </c>
      <c r="E7" s="5">
        <f t="shared" si="0"/>
        <v>26391.023964711167</v>
      </c>
      <c r="F7" s="5">
        <f t="shared" si="1"/>
        <v>14.342979221179888</v>
      </c>
      <c r="G7" s="5">
        <f t="shared" si="2"/>
        <v>13.671505657857104</v>
      </c>
    </row>
    <row r="8" spans="1:7" x14ac:dyDescent="0.3">
      <c r="A8" s="1" t="s">
        <v>11</v>
      </c>
      <c r="B8" s="4">
        <f>Data!B8</f>
        <v>72.148799999999994</v>
      </c>
      <c r="C8" s="10">
        <f>Densities!L8</f>
        <v>0.61625239458800596</v>
      </c>
      <c r="D8" s="4">
        <f>Densities!K8</f>
        <v>117.07670531363193</v>
      </c>
      <c r="E8" s="5">
        <f t="shared" si="0"/>
        <v>26391.023964711167</v>
      </c>
      <c r="F8" s="5">
        <f t="shared" si="1"/>
        <v>14.291351932293827</v>
      </c>
      <c r="G8" s="5">
        <f t="shared" si="2"/>
        <v>13.594130288918141</v>
      </c>
    </row>
    <row r="9" spans="1:7" x14ac:dyDescent="0.3">
      <c r="A9" s="1" t="s">
        <v>12</v>
      </c>
      <c r="B9" s="4">
        <f>Data!B9</f>
        <v>72.148799999999994</v>
      </c>
      <c r="C9" s="10">
        <f>Densities!L9</f>
        <v>0.58527912090334122</v>
      </c>
      <c r="D9" s="4">
        <f>Densities!K9</f>
        <v>123.27246509091748</v>
      </c>
      <c r="E9" s="5">
        <f t="shared" si="0"/>
        <v>26391.023964711167</v>
      </c>
      <c r="F9" s="5">
        <f t="shared" si="1"/>
        <v>13.927575452194773</v>
      </c>
      <c r="G9" s="5">
        <f t="shared" si="2"/>
        <v>13.056836910310262</v>
      </c>
    </row>
    <row r="10" spans="1:7" x14ac:dyDescent="0.3">
      <c r="A10" s="1" t="s">
        <v>13</v>
      </c>
      <c r="B10" s="4">
        <f>Data!B10</f>
        <v>86.175399999999996</v>
      </c>
      <c r="C10" s="10">
        <f>Densities!L10</f>
        <v>0.65669237964432503</v>
      </c>
      <c r="D10" s="4">
        <f>Densities!K10</f>
        <v>131.22643519432029</v>
      </c>
      <c r="E10" s="5">
        <f t="shared" si="0"/>
        <v>31428.72014622085</v>
      </c>
      <c r="F10" s="5">
        <f t="shared" si="1"/>
        <v>14.852920029683377</v>
      </c>
      <c r="G10" s="5">
        <f t="shared" si="2"/>
        <v>14.295642709690107</v>
      </c>
    </row>
    <row r="11" spans="1:7" x14ac:dyDescent="0.3">
      <c r="A11" s="1" t="s">
        <v>14</v>
      </c>
      <c r="B11" s="4">
        <f>Data!B11</f>
        <v>100.202</v>
      </c>
      <c r="C11" s="10">
        <f>Densities!L11</f>
        <v>0.67813167544701491</v>
      </c>
      <c r="D11" s="4">
        <f>Densities!K11</f>
        <v>147.76186340794101</v>
      </c>
      <c r="E11" s="5">
        <f t="shared" si="0"/>
        <v>36442.6888195188</v>
      </c>
      <c r="F11" s="5">
        <f t="shared" si="1"/>
        <v>15.160953741498185</v>
      </c>
      <c r="G11" s="5">
        <f t="shared" si="2"/>
        <v>14.667550173979368</v>
      </c>
    </row>
    <row r="12" spans="1:7" x14ac:dyDescent="0.3">
      <c r="A12" s="1" t="s">
        <v>28</v>
      </c>
      <c r="B12" s="4">
        <f>Data!B12</f>
        <v>114.2285</v>
      </c>
      <c r="C12" s="10">
        <f>Densities!L12</f>
        <v>0.70008858222765136</v>
      </c>
      <c r="D12" s="4">
        <f>Densities!K12</f>
        <v>163.16292380677012</v>
      </c>
      <c r="E12" s="5">
        <f t="shared" si="0"/>
        <v>41432.894492201325</v>
      </c>
      <c r="F12" s="5">
        <f t="shared" si="1"/>
        <v>15.451297077978595</v>
      </c>
      <c r="G12" s="5">
        <f t="shared" si="2"/>
        <v>15.048436635903069</v>
      </c>
    </row>
    <row r="13" spans="1:7" x14ac:dyDescent="0.3">
      <c r="A13" s="1" t="s">
        <v>15</v>
      </c>
      <c r="B13" s="4">
        <f>Data!B13</f>
        <v>128.2551</v>
      </c>
      <c r="C13" s="10">
        <f>Densities!L13</f>
        <v>0.71681626225843131</v>
      </c>
      <c r="D13" s="4">
        <f>Densities!K13</f>
        <v>178.92325656216855</v>
      </c>
      <c r="E13" s="5">
        <f t="shared" si="0"/>
        <v>46399.408318236601</v>
      </c>
      <c r="F13" s="5">
        <f t="shared" si="1"/>
        <v>15.667510724708453</v>
      </c>
      <c r="G13" s="5">
        <f t="shared" si="2"/>
        <v>15.338611701397008</v>
      </c>
    </row>
    <row r="14" spans="1:7" x14ac:dyDescent="0.3">
      <c r="A14" s="1" t="s">
        <v>16</v>
      </c>
      <c r="B14" s="4">
        <f>Data!B14</f>
        <v>142.2817</v>
      </c>
      <c r="C14" s="10">
        <f>Densities!L14</f>
        <v>0.7273618337683494</v>
      </c>
      <c r="D14" s="4">
        <f>Densities!K14</f>
        <v>195.61337066980883</v>
      </c>
      <c r="E14" s="5">
        <f t="shared" si="0"/>
        <v>51342.194636060136</v>
      </c>
      <c r="F14" s="5">
        <f t="shared" si="1"/>
        <v>15.804903628473738</v>
      </c>
      <c r="G14" s="5">
        <f t="shared" si="2"/>
        <v>15.521545730379557</v>
      </c>
    </row>
    <row r="15" spans="1:7" x14ac:dyDescent="0.3">
      <c r="A15" s="1" t="s">
        <v>17</v>
      </c>
      <c r="B15" s="4">
        <f>Data!B15</f>
        <v>156.3083</v>
      </c>
      <c r="C15" s="10">
        <f>Densities!L15</f>
        <v>0.73861077402979614</v>
      </c>
      <c r="D15" s="4">
        <f>Densities!K15</f>
        <v>211.62472237873746</v>
      </c>
      <c r="E15" s="5">
        <f t="shared" si="0"/>
        <v>56261.253445671937</v>
      </c>
      <c r="F15" s="5">
        <f t="shared" si="1"/>
        <v>15.941767498480157</v>
      </c>
      <c r="G15" s="5">
        <f t="shared" si="2"/>
        <v>15.716681097094874</v>
      </c>
    </row>
    <row r="16" spans="1:7" x14ac:dyDescent="0.3">
      <c r="A16" s="1" t="s">
        <v>18</v>
      </c>
      <c r="B16" s="4">
        <f>Data!B16</f>
        <v>170.3348</v>
      </c>
      <c r="C16" s="10">
        <f>Densities!L16</f>
        <v>0.74563828696117129</v>
      </c>
      <c r="D16" s="4">
        <f>Densities!K16</f>
        <v>228.44159558141104</v>
      </c>
      <c r="E16" s="5">
        <f t="shared" si="0"/>
        <v>61156.549931310285</v>
      </c>
      <c r="F16" s="5">
        <f t="shared" si="1"/>
        <v>16.026864050000285</v>
      </c>
      <c r="G16" s="5">
        <f t="shared" si="2"/>
        <v>15.838587363915439</v>
      </c>
    </row>
    <row r="17" spans="1:7" x14ac:dyDescent="0.3">
      <c r="A17" s="1" t="s">
        <v>19</v>
      </c>
      <c r="B17" s="4">
        <f>Data!B17</f>
        <v>184.3614</v>
      </c>
      <c r="C17" s="10">
        <f>Densities!L17</f>
        <v>0.75044202652292402</v>
      </c>
      <c r="D17" s="4">
        <f>Densities!K17</f>
        <v>245.67040955077459</v>
      </c>
      <c r="E17" s="5">
        <f t="shared" si="0"/>
        <v>66028.153893659401</v>
      </c>
      <c r="F17" s="5">
        <f t="shared" si="1"/>
        <v>16.083427612905162</v>
      </c>
      <c r="G17" s="5">
        <f t="shared" si="2"/>
        <v>15.921917834093163</v>
      </c>
    </row>
    <row r="18" spans="1:7" x14ac:dyDescent="0.3">
      <c r="A18" s="1" t="s">
        <v>20</v>
      </c>
      <c r="B18" s="4">
        <f>Data!B18</f>
        <v>198.38800000000001</v>
      </c>
      <c r="C18" s="10">
        <f>Densities!L18</f>
        <v>0.76013178661787129</v>
      </c>
      <c r="D18" s="4">
        <f>Densities!K18</f>
        <v>260.99158526537502</v>
      </c>
      <c r="E18" s="5">
        <f t="shared" si="0"/>
        <v>70876.030347796797</v>
      </c>
      <c r="F18" s="5">
        <f t="shared" si="1"/>
        <v>16.188458909922705</v>
      </c>
      <c r="G18" s="5">
        <f t="shared" si="2"/>
        <v>16.090006102460215</v>
      </c>
    </row>
    <row r="19" spans="1:7" x14ac:dyDescent="0.3">
      <c r="A19" s="1" t="s">
        <v>21</v>
      </c>
      <c r="B19" s="4">
        <f>Data!B19</f>
        <v>212.41460000000001</v>
      </c>
      <c r="C19" s="10">
        <f>Densities!L19</f>
        <v>0.76575968511768877</v>
      </c>
      <c r="D19" s="4">
        <f>Densities!K19</f>
        <v>277.39068029855116</v>
      </c>
      <c r="E19" s="5">
        <f t="shared" si="0"/>
        <v>75700.179293722438</v>
      </c>
      <c r="F19" s="5">
        <f t="shared" si="1"/>
        <v>16.246976590414299</v>
      </c>
      <c r="G19" s="5">
        <f t="shared" si="2"/>
        <v>16.18763325773655</v>
      </c>
    </row>
    <row r="20" spans="1:7" x14ac:dyDescent="0.3">
      <c r="A20" s="1" t="s">
        <v>22</v>
      </c>
      <c r="B20" s="4">
        <f>Data!B20</f>
        <v>226.44120000000001</v>
      </c>
      <c r="C20" s="10">
        <f>Densities!L20</f>
        <v>0.77064693384235095</v>
      </c>
      <c r="D20" s="4">
        <f>Densities!K20</f>
        <v>293.83261005268912</v>
      </c>
      <c r="E20" s="5">
        <f t="shared" si="0"/>
        <v>80500.600731436367</v>
      </c>
      <c r="F20" s="5">
        <f t="shared" si="1"/>
        <v>16.295119575634402</v>
      </c>
      <c r="G20" s="5">
        <f t="shared" si="2"/>
        <v>16.272412361363262</v>
      </c>
    </row>
    <row r="21" spans="1:7" x14ac:dyDescent="0.3">
      <c r="A21" s="1" t="s">
        <v>23</v>
      </c>
      <c r="B21" s="4">
        <f>Data!B21</f>
        <v>78.111800000000002</v>
      </c>
      <c r="C21" s="10">
        <f>Densities!L21</f>
        <v>0.86994299273972109</v>
      </c>
      <c r="D21" s="4">
        <f>Densities!K21</f>
        <v>89.789561674612315</v>
      </c>
      <c r="E21" s="5">
        <f t="shared" si="0"/>
        <v>28535.55302605583</v>
      </c>
      <c r="F21" s="5">
        <f t="shared" si="1"/>
        <v>17.035148164460693</v>
      </c>
      <c r="G21" s="5">
        <f t="shared" si="2"/>
        <v>17.994901095055944</v>
      </c>
    </row>
    <row r="22" spans="1:7" x14ac:dyDescent="0.3">
      <c r="A22" s="1" t="s">
        <v>24</v>
      </c>
      <c r="B22" s="4">
        <f>Data!B22</f>
        <v>92.138400000000004</v>
      </c>
      <c r="C22" s="10">
        <f>Densities!L22</f>
        <v>0.86408985823888951</v>
      </c>
      <c r="D22" s="4">
        <f>Densities!K22</f>
        <v>106.6305768103658</v>
      </c>
      <c r="E22" s="5">
        <f t="shared" si="0"/>
        <v>33563.162149300035</v>
      </c>
      <c r="F22" s="5">
        <f t="shared" si="1"/>
        <v>17.073753414911284</v>
      </c>
      <c r="G22" s="5">
        <f t="shared" si="2"/>
        <v>17.893366770870017</v>
      </c>
    </row>
    <row r="23" spans="1:7" x14ac:dyDescent="0.3">
      <c r="A23" s="1" t="s">
        <v>25</v>
      </c>
      <c r="B23" s="4">
        <f>Data!B23</f>
        <v>106.16500000000001</v>
      </c>
      <c r="C23" s="10">
        <f>Densities!L23</f>
        <v>0.87731502096665148</v>
      </c>
      <c r="D23" s="4">
        <f>Densities!K23</f>
        <v>121.01126444070715</v>
      </c>
      <c r="E23" s="5">
        <f t="shared" si="0"/>
        <v>38567.043764332499</v>
      </c>
      <c r="F23" s="5">
        <f t="shared" si="1"/>
        <v>17.269073201452724</v>
      </c>
      <c r="G23" s="5">
        <f t="shared" si="2"/>
        <v>18.122783668708504</v>
      </c>
    </row>
    <row r="24" spans="1:7" x14ac:dyDescent="0.3">
      <c r="A24" s="1" t="s">
        <v>26</v>
      </c>
      <c r="B24" s="4">
        <f>Data!B24</f>
        <v>106.16500000000001</v>
      </c>
      <c r="C24" s="10">
        <f>Densities!L24</f>
        <v>0.86166216358254488</v>
      </c>
      <c r="D24" s="4">
        <f>Densities!K24</f>
        <v>123.20954138057576</v>
      </c>
      <c r="E24" s="5">
        <f t="shared" si="0"/>
        <v>38567.043764332499</v>
      </c>
      <c r="F24" s="5">
        <f t="shared" si="1"/>
        <v>17.114324385475207</v>
      </c>
      <c r="G24" s="5">
        <f t="shared" si="2"/>
        <v>17.851253551666407</v>
      </c>
    </row>
    <row r="25" spans="1:7" x14ac:dyDescent="0.3">
      <c r="A25" s="1" t="s">
        <v>27</v>
      </c>
      <c r="B25" s="4">
        <f>Data!B25</f>
        <v>106.16500000000001</v>
      </c>
      <c r="C25" s="10">
        <f>Densities!L25</f>
        <v>0.85804458613012335</v>
      </c>
      <c r="D25" s="4">
        <f>Densities!K25</f>
        <v>123.7290016347705</v>
      </c>
      <c r="E25" s="5">
        <f t="shared" si="0"/>
        <v>38567.043764332499</v>
      </c>
      <c r="F25" s="5">
        <f t="shared" si="1"/>
        <v>17.078360456571385</v>
      </c>
      <c r="G25" s="5">
        <f t="shared" si="2"/>
        <v>17.788499435599249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Densities</vt:lpstr>
      <vt:lpstr>Deltas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Vítor Jucá Policarpo</dc:creator>
  <cp:lastModifiedBy>Vítor Jucá Policarpo</cp:lastModifiedBy>
  <dcterms:created xsi:type="dcterms:W3CDTF">2026-05-15T16:12:50Z</dcterms:created>
  <dcterms:modified xsi:type="dcterms:W3CDTF">2026-06-17T18:26:48Z</dcterms:modified>
</cp:coreProperties>
</file>